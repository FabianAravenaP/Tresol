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8_{4BD2B840-AF30-48EE-BC48-6A61A8EC9B26}" xr6:coauthVersionLast="47" xr6:coauthVersionMax="47" xr10:uidLastSave="{00000000-0000-0000-0000-000000000000}"/>
  <bookViews>
    <workbookView xWindow="-108" yWindow="-108" windowWidth="23256" windowHeight="12456" tabRatio="591" xr2:uid="{82DF987B-3161-41C4-82D1-224FA23B582A}"/>
  </bookViews>
  <sheets>
    <sheet name="01" sheetId="27" r:id="rId1"/>
    <sheet name="02" sheetId="67" r:id="rId2"/>
    <sheet name="03" sheetId="66" r:id="rId3"/>
    <sheet name="04" sheetId="65" r:id="rId4"/>
    <sheet name="05" sheetId="64" r:id="rId5"/>
    <sheet name="06" sheetId="63" r:id="rId6"/>
    <sheet name="07" sheetId="62" r:id="rId7"/>
    <sheet name="08" sheetId="61" r:id="rId8"/>
    <sheet name="09" sheetId="60" r:id="rId9"/>
    <sheet name="10" sheetId="59" r:id="rId10"/>
    <sheet name="11" sheetId="58" r:id="rId11"/>
    <sheet name="12" sheetId="57" r:id="rId12"/>
    <sheet name="13" sheetId="56" r:id="rId13"/>
    <sheet name="14" sheetId="55" r:id="rId14"/>
    <sheet name="15" sheetId="54" r:id="rId15"/>
    <sheet name="16" sheetId="53" r:id="rId16"/>
    <sheet name="17" sheetId="52" r:id="rId17"/>
    <sheet name="18" sheetId="51" r:id="rId18"/>
    <sheet name="19" sheetId="50" r:id="rId19"/>
    <sheet name="20" sheetId="49" r:id="rId20"/>
    <sheet name="21" sheetId="48" r:id="rId21"/>
    <sheet name="22" sheetId="47" r:id="rId22"/>
    <sheet name="23" sheetId="46" r:id="rId23"/>
    <sheet name="24" sheetId="45" r:id="rId24"/>
    <sheet name="25" sheetId="43" r:id="rId25"/>
    <sheet name="26" sheetId="42" r:id="rId26"/>
    <sheet name="27" sheetId="41" r:id="rId27"/>
    <sheet name="28" sheetId="39" r:id="rId28"/>
    <sheet name="29" sheetId="38" r:id="rId29"/>
    <sheet name="30" sheetId="40" r:id="rId30"/>
    <sheet name="31" sheetId="44" r:id="rId31"/>
  </sheets>
  <definedNames>
    <definedName name="_xlnm._FilterDatabase" localSheetId="0" hidden="1">'01'!$B$7:$V$7</definedName>
    <definedName name="_xlnm._FilterDatabase" localSheetId="1" hidden="1">'02'!$B$7:$V$7</definedName>
    <definedName name="_xlnm._FilterDatabase" localSheetId="2" hidden="1">'03'!$B$7:$V$7</definedName>
    <definedName name="_xlnm._FilterDatabase" localSheetId="3" hidden="1">'04'!$B$7:$V$7</definedName>
    <definedName name="_xlnm._FilterDatabase" localSheetId="4" hidden="1">'05'!$B$7:$V$7</definedName>
    <definedName name="_xlnm._FilterDatabase" localSheetId="5" hidden="1">'06'!$B$7:$V$7</definedName>
    <definedName name="_xlnm._FilterDatabase" localSheetId="6" hidden="1">'07'!$B$7:$V$7</definedName>
    <definedName name="_xlnm._FilterDatabase" localSheetId="7" hidden="1">'08'!$B$7:$V$7</definedName>
    <definedName name="_xlnm._FilterDatabase" localSheetId="8" hidden="1">'09'!$B$7:$V$7</definedName>
    <definedName name="_xlnm._FilterDatabase" localSheetId="9" hidden="1">'10'!$B$7:$V$7</definedName>
    <definedName name="_xlnm._FilterDatabase" localSheetId="10" hidden="1">'11'!$B$7:$V$7</definedName>
    <definedName name="_xlnm._FilterDatabase" localSheetId="11" hidden="1">'12'!$B$7:$V$7</definedName>
    <definedName name="_xlnm._FilterDatabase" localSheetId="12" hidden="1">'13'!$B$7:$V$7</definedName>
    <definedName name="_xlnm._FilterDatabase" localSheetId="13" hidden="1">'14'!$B$7:$V$7</definedName>
    <definedName name="_xlnm._FilterDatabase" localSheetId="14" hidden="1">'15'!$B$7:$V$7</definedName>
    <definedName name="_xlnm._FilterDatabase" localSheetId="15" hidden="1">'16'!$B$7:$V$7</definedName>
    <definedName name="_xlnm._FilterDatabase" localSheetId="16" hidden="1">'17'!$B$7:$V$7</definedName>
    <definedName name="_xlnm._FilterDatabase" localSheetId="17" hidden="1">'18'!$B$7:$V$7</definedName>
    <definedName name="_xlnm._FilterDatabase" localSheetId="18" hidden="1">'19'!$B$7:$V$7</definedName>
    <definedName name="_xlnm._FilterDatabase" localSheetId="19" hidden="1">'20'!$B$7:$V$7</definedName>
    <definedName name="_xlnm._FilterDatabase" localSheetId="20" hidden="1">'21'!$B$7:$V$7</definedName>
    <definedName name="_xlnm._FilterDatabase" localSheetId="21" hidden="1">'22'!$B$7:$V$7</definedName>
    <definedName name="_xlnm._FilterDatabase" localSheetId="22" hidden="1">'23'!$B$7:$V$7</definedName>
    <definedName name="_xlnm._FilterDatabase" localSheetId="23" hidden="1">'24'!$B$7:$V$7</definedName>
    <definedName name="_xlnm._FilterDatabase" localSheetId="24" hidden="1">'25'!$B$7:$V$7</definedName>
    <definedName name="_xlnm._FilterDatabase" localSheetId="25" hidden="1">'26'!$B$7:$V$7</definedName>
    <definedName name="_xlnm._FilterDatabase" localSheetId="26" hidden="1">'27'!$B$7:$V$7</definedName>
    <definedName name="_xlnm._FilterDatabase" localSheetId="27" hidden="1">'28'!$B$7:$V$7</definedName>
    <definedName name="_xlnm._FilterDatabase" localSheetId="28" hidden="1">'29'!$B$7:$V$7</definedName>
    <definedName name="_xlnm._FilterDatabase" localSheetId="29" hidden="1">'30'!$B$7:$V$7</definedName>
    <definedName name="_xlnm._FilterDatabase" localSheetId="30" hidden="1">'31'!$B$7:$V$7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67" l="1"/>
  <c r="O13" i="67"/>
  <c r="P13" i="67"/>
  <c r="Q13" i="67"/>
  <c r="R13" i="67"/>
  <c r="S13" i="67"/>
  <c r="N14" i="67"/>
  <c r="O14" i="67"/>
  <c r="P14" i="67"/>
  <c r="Q14" i="67"/>
  <c r="R14" i="67"/>
  <c r="S14" i="67"/>
  <c r="N15" i="67"/>
  <c r="O15" i="67"/>
  <c r="P15" i="67"/>
  <c r="Q15" i="67"/>
  <c r="R15" i="67"/>
  <c r="S15" i="67"/>
  <c r="N16" i="67"/>
  <c r="O16" i="67"/>
  <c r="P16" i="67"/>
  <c r="Q16" i="67"/>
  <c r="R16" i="67"/>
  <c r="S16" i="67"/>
  <c r="N17" i="67"/>
  <c r="O17" i="67"/>
  <c r="P17" i="67"/>
  <c r="Q17" i="67"/>
  <c r="R17" i="67"/>
  <c r="S17" i="67"/>
  <c r="N18" i="67"/>
  <c r="O18" i="67"/>
  <c r="P18" i="67"/>
  <c r="Q18" i="67"/>
  <c r="R18" i="67"/>
  <c r="S18" i="67"/>
  <c r="N19" i="67"/>
  <c r="O19" i="67"/>
  <c r="P19" i="67"/>
  <c r="Q19" i="67"/>
  <c r="R19" i="67"/>
  <c r="S19" i="67"/>
  <c r="N20" i="67"/>
  <c r="O20" i="67"/>
  <c r="P20" i="67"/>
  <c r="Q20" i="67"/>
  <c r="R20" i="67"/>
  <c r="S20" i="67"/>
  <c r="N21" i="67"/>
  <c r="O21" i="67"/>
  <c r="P21" i="67"/>
  <c r="Q21" i="67"/>
  <c r="R21" i="67"/>
  <c r="S21" i="67"/>
  <c r="N22" i="67"/>
  <c r="O22" i="67"/>
  <c r="P22" i="67"/>
  <c r="Q22" i="67"/>
  <c r="R22" i="67"/>
  <c r="S22" i="67"/>
  <c r="N23" i="67"/>
  <c r="O23" i="67"/>
  <c r="P23" i="67"/>
  <c r="Q23" i="67"/>
  <c r="R23" i="67"/>
  <c r="S23" i="67"/>
  <c r="N24" i="67"/>
  <c r="O24" i="67"/>
  <c r="P24" i="67"/>
  <c r="Q24" i="67"/>
  <c r="R24" i="67"/>
  <c r="S24" i="67"/>
  <c r="N25" i="67"/>
  <c r="O25" i="67"/>
  <c r="P25" i="67"/>
  <c r="Q25" i="67"/>
  <c r="R25" i="67"/>
  <c r="S25" i="67"/>
  <c r="N26" i="67"/>
  <c r="O26" i="67"/>
  <c r="P26" i="67"/>
  <c r="Q26" i="67"/>
  <c r="R26" i="67"/>
  <c r="S26" i="67"/>
  <c r="N27" i="67"/>
  <c r="O27" i="67"/>
  <c r="P27" i="67"/>
  <c r="Q27" i="67"/>
  <c r="R27" i="67"/>
  <c r="S27" i="67"/>
  <c r="N28" i="67"/>
  <c r="O28" i="67"/>
  <c r="P28" i="67"/>
  <c r="Q28" i="67"/>
  <c r="R28" i="67"/>
  <c r="S28" i="67"/>
  <c r="N29" i="67"/>
  <c r="O29" i="67"/>
  <c r="P29" i="67"/>
  <c r="Q29" i="67"/>
  <c r="R29" i="67"/>
  <c r="S29" i="67"/>
  <c r="N30" i="67"/>
  <c r="O30" i="67"/>
  <c r="P30" i="67"/>
  <c r="Q30" i="67"/>
  <c r="R30" i="67"/>
  <c r="S30" i="67"/>
  <c r="N31" i="67"/>
  <c r="O31" i="67"/>
  <c r="P31" i="67"/>
  <c r="Q31" i="67"/>
  <c r="R31" i="67"/>
  <c r="S31" i="67"/>
  <c r="N32" i="67"/>
  <c r="O32" i="67"/>
  <c r="P32" i="67"/>
  <c r="Q32" i="67"/>
  <c r="R32" i="67"/>
  <c r="S32" i="67"/>
  <c r="N33" i="67"/>
  <c r="O33" i="67"/>
  <c r="P33" i="67"/>
  <c r="Q33" i="67"/>
  <c r="R33" i="67"/>
  <c r="S33" i="67"/>
  <c r="N34" i="67"/>
  <c r="O34" i="67"/>
  <c r="P34" i="67"/>
  <c r="Q34" i="67"/>
  <c r="R34" i="67"/>
  <c r="S34" i="67"/>
  <c r="N35" i="67"/>
  <c r="O35" i="67"/>
  <c r="P35" i="67"/>
  <c r="Q35" i="67"/>
  <c r="R35" i="67"/>
  <c r="S35" i="67"/>
  <c r="N36" i="67"/>
  <c r="O36" i="67"/>
  <c r="P36" i="67"/>
  <c r="Q36" i="67"/>
  <c r="R36" i="67"/>
  <c r="S36" i="67"/>
  <c r="N37" i="67"/>
  <c r="O37" i="67"/>
  <c r="P37" i="67"/>
  <c r="Q37" i="67"/>
  <c r="R37" i="67"/>
  <c r="S37" i="67"/>
  <c r="N38" i="67"/>
  <c r="O38" i="67"/>
  <c r="P38" i="67"/>
  <c r="Q38" i="67"/>
  <c r="R38" i="67"/>
  <c r="S38" i="67"/>
  <c r="N39" i="67"/>
  <c r="O39" i="67"/>
  <c r="P39" i="67"/>
  <c r="Q39" i="67"/>
  <c r="R39" i="67"/>
  <c r="S39" i="67"/>
  <c r="N40" i="67"/>
  <c r="O40" i="67"/>
  <c r="P40" i="67"/>
  <c r="Q40" i="67"/>
  <c r="R40" i="67"/>
  <c r="S40" i="67"/>
  <c r="N41" i="67"/>
  <c r="O41" i="67"/>
  <c r="P41" i="67"/>
  <c r="Q41" i="67"/>
  <c r="R41" i="67"/>
  <c r="S41" i="67"/>
  <c r="N42" i="67"/>
  <c r="O42" i="67"/>
  <c r="P42" i="67"/>
  <c r="Q42" i="67"/>
  <c r="R42" i="67"/>
  <c r="S42" i="67"/>
  <c r="N43" i="67"/>
  <c r="O43" i="67"/>
  <c r="P43" i="67"/>
  <c r="Q43" i="67"/>
  <c r="R43" i="67"/>
  <c r="S43" i="67"/>
  <c r="N44" i="67"/>
  <c r="O44" i="67"/>
  <c r="P44" i="67"/>
  <c r="Q44" i="67"/>
  <c r="R44" i="67"/>
  <c r="S44" i="67"/>
  <c r="N45" i="67"/>
  <c r="O45" i="67"/>
  <c r="P45" i="67"/>
  <c r="Q45" i="67"/>
  <c r="R45" i="67"/>
  <c r="S45" i="67"/>
  <c r="N46" i="67"/>
  <c r="O46" i="67"/>
  <c r="P46" i="67"/>
  <c r="Q46" i="67"/>
  <c r="R46" i="67"/>
  <c r="S46" i="67"/>
  <c r="N47" i="67"/>
  <c r="O47" i="67"/>
  <c r="P47" i="67"/>
  <c r="Q47" i="67"/>
  <c r="R47" i="67"/>
  <c r="S47" i="67"/>
  <c r="N48" i="67"/>
  <c r="O48" i="67"/>
  <c r="P48" i="67"/>
  <c r="Q48" i="67"/>
  <c r="R48" i="67"/>
  <c r="S48" i="67"/>
  <c r="N49" i="67"/>
  <c r="O49" i="67"/>
  <c r="P49" i="67"/>
  <c r="Q49" i="67"/>
  <c r="R49" i="67"/>
  <c r="S49" i="67"/>
  <c r="N50" i="67"/>
  <c r="O50" i="67"/>
  <c r="P50" i="67"/>
  <c r="Q50" i="67"/>
  <c r="R50" i="67"/>
  <c r="S50" i="67"/>
  <c r="N51" i="67"/>
  <c r="O51" i="67"/>
  <c r="P51" i="67"/>
  <c r="Q51" i="67"/>
  <c r="R51" i="67"/>
  <c r="S51" i="67"/>
  <c r="N52" i="67"/>
  <c r="O52" i="67"/>
  <c r="P52" i="67"/>
  <c r="Q52" i="67"/>
  <c r="R52" i="67"/>
  <c r="S52" i="67"/>
  <c r="N53" i="67"/>
  <c r="O53" i="67"/>
  <c r="P53" i="67"/>
  <c r="Q53" i="67"/>
  <c r="R53" i="67"/>
  <c r="S53" i="67"/>
  <c r="N54" i="67"/>
  <c r="O54" i="67"/>
  <c r="P54" i="67"/>
  <c r="Q54" i="67"/>
  <c r="R54" i="67"/>
  <c r="S54" i="67"/>
  <c r="N55" i="67"/>
  <c r="O55" i="67"/>
  <c r="P55" i="67"/>
  <c r="Q55" i="67"/>
  <c r="R55" i="67"/>
  <c r="S55" i="67"/>
  <c r="N56" i="67"/>
  <c r="O56" i="67"/>
  <c r="P56" i="67"/>
  <c r="Q56" i="67"/>
  <c r="R56" i="67"/>
  <c r="S56" i="67"/>
  <c r="N57" i="67"/>
  <c r="O57" i="67"/>
  <c r="P57" i="67"/>
  <c r="Q57" i="67"/>
  <c r="R57" i="67"/>
  <c r="S57" i="67"/>
  <c r="N58" i="67"/>
  <c r="O58" i="67"/>
  <c r="P58" i="67"/>
  <c r="Q58" i="67"/>
  <c r="R58" i="67"/>
  <c r="S58" i="67"/>
  <c r="N59" i="67"/>
  <c r="O59" i="67"/>
  <c r="P59" i="67"/>
  <c r="Q59" i="67"/>
  <c r="R59" i="67"/>
  <c r="S59" i="67"/>
  <c r="N60" i="67"/>
  <c r="O60" i="67"/>
  <c r="P60" i="67"/>
  <c r="Q60" i="67"/>
  <c r="R60" i="67"/>
  <c r="S60" i="67"/>
  <c r="N61" i="67"/>
  <c r="O61" i="67"/>
  <c r="P61" i="67"/>
  <c r="Q61" i="67"/>
  <c r="R61" i="67"/>
  <c r="S61" i="67"/>
  <c r="N62" i="67"/>
  <c r="O62" i="67"/>
  <c r="P62" i="67"/>
  <c r="Q62" i="67"/>
  <c r="R62" i="67"/>
  <c r="S62" i="67"/>
  <c r="N63" i="67"/>
  <c r="O63" i="67"/>
  <c r="P63" i="67"/>
  <c r="Q63" i="67"/>
  <c r="R63" i="67"/>
  <c r="S63" i="67"/>
  <c r="N64" i="67"/>
  <c r="O64" i="67"/>
  <c r="P64" i="67"/>
  <c r="Q64" i="67"/>
  <c r="R64" i="67"/>
  <c r="S64" i="67"/>
  <c r="N65" i="67"/>
  <c r="O65" i="67"/>
  <c r="P65" i="67"/>
  <c r="Q65" i="67"/>
  <c r="R65" i="67"/>
  <c r="S65" i="67"/>
  <c r="N66" i="67"/>
  <c r="O66" i="67"/>
  <c r="P66" i="67"/>
  <c r="Q66" i="67"/>
  <c r="R66" i="67"/>
  <c r="S66" i="67"/>
  <c r="N67" i="67"/>
  <c r="O67" i="67"/>
  <c r="P67" i="67"/>
  <c r="Q67" i="67"/>
  <c r="R67" i="67"/>
  <c r="S67" i="67"/>
  <c r="N68" i="67"/>
  <c r="O68" i="67"/>
  <c r="P68" i="67"/>
  <c r="Q68" i="67"/>
  <c r="R68" i="67"/>
  <c r="S68" i="67"/>
  <c r="N69" i="67"/>
  <c r="O69" i="67"/>
  <c r="P69" i="67"/>
  <c r="Q69" i="67"/>
  <c r="R69" i="67"/>
  <c r="S69" i="67"/>
  <c r="N70" i="67"/>
  <c r="O70" i="67"/>
  <c r="P70" i="67"/>
  <c r="Q70" i="67"/>
  <c r="R70" i="67"/>
  <c r="S70" i="67"/>
  <c r="N71" i="67"/>
  <c r="O71" i="67"/>
  <c r="P71" i="67"/>
  <c r="Q71" i="67"/>
  <c r="R71" i="67"/>
  <c r="S71" i="67"/>
  <c r="N72" i="67"/>
  <c r="O72" i="67"/>
  <c r="P72" i="67"/>
  <c r="Q72" i="67"/>
  <c r="R72" i="67"/>
  <c r="S72" i="67"/>
  <c r="N73" i="67"/>
  <c r="O73" i="67"/>
  <c r="P73" i="67"/>
  <c r="Q73" i="67"/>
  <c r="R73" i="67"/>
  <c r="S73" i="67"/>
  <c r="N74" i="67"/>
  <c r="O74" i="67"/>
  <c r="P74" i="67"/>
  <c r="Q74" i="67"/>
  <c r="R74" i="67"/>
  <c r="S74" i="67"/>
  <c r="N75" i="67"/>
  <c r="O75" i="67"/>
  <c r="P75" i="67"/>
  <c r="Q75" i="67"/>
  <c r="R75" i="67"/>
  <c r="S75" i="67"/>
  <c r="N76" i="67"/>
  <c r="O76" i="67"/>
  <c r="P76" i="67"/>
  <c r="Q76" i="67"/>
  <c r="R76" i="67"/>
  <c r="S76" i="67"/>
  <c r="N77" i="67"/>
  <c r="O77" i="67"/>
  <c r="P77" i="67"/>
  <c r="Q77" i="67"/>
  <c r="R77" i="67"/>
  <c r="S77" i="67"/>
  <c r="N78" i="67"/>
  <c r="O78" i="67"/>
  <c r="P78" i="67"/>
  <c r="Q78" i="67"/>
  <c r="R78" i="67"/>
  <c r="S78" i="67"/>
  <c r="N79" i="67"/>
  <c r="O79" i="67"/>
  <c r="P79" i="67"/>
  <c r="Q79" i="67"/>
  <c r="R79" i="67"/>
  <c r="S79" i="67"/>
  <c r="N80" i="67"/>
  <c r="O80" i="67"/>
  <c r="P80" i="67"/>
  <c r="Q80" i="67"/>
  <c r="R80" i="67"/>
  <c r="S80" i="67"/>
  <c r="N81" i="67"/>
  <c r="O81" i="67"/>
  <c r="P81" i="67"/>
  <c r="Q81" i="67"/>
  <c r="R81" i="67"/>
  <c r="S81" i="67"/>
  <c r="N82" i="67"/>
  <c r="O82" i="67"/>
  <c r="P82" i="67"/>
  <c r="Q82" i="67"/>
  <c r="R82" i="67"/>
  <c r="S82" i="67"/>
  <c r="N83" i="67"/>
  <c r="O83" i="67"/>
  <c r="P83" i="67"/>
  <c r="Q83" i="67"/>
  <c r="R83" i="67"/>
  <c r="S83" i="67"/>
  <c r="N84" i="67"/>
  <c r="O84" i="67"/>
  <c r="P84" i="67"/>
  <c r="Q84" i="67"/>
  <c r="R84" i="67"/>
  <c r="S84" i="67"/>
  <c r="N85" i="67"/>
  <c r="O85" i="67"/>
  <c r="P85" i="67"/>
  <c r="Q85" i="67"/>
  <c r="R85" i="67"/>
  <c r="S85" i="67"/>
  <c r="N86" i="67"/>
  <c r="O86" i="67"/>
  <c r="P86" i="67"/>
  <c r="Q86" i="67"/>
  <c r="R86" i="67"/>
  <c r="S86" i="67"/>
  <c r="N87" i="67"/>
  <c r="O87" i="67"/>
  <c r="P87" i="67"/>
  <c r="Q87" i="67"/>
  <c r="R87" i="67"/>
  <c r="S87" i="67"/>
  <c r="N88" i="67"/>
  <c r="O88" i="67"/>
  <c r="P88" i="67"/>
  <c r="Q88" i="67"/>
  <c r="R88" i="67"/>
  <c r="S88" i="67"/>
  <c r="N89" i="67"/>
  <c r="O89" i="67"/>
  <c r="P89" i="67"/>
  <c r="Q89" i="67"/>
  <c r="R89" i="67"/>
  <c r="S89" i="67"/>
  <c r="N90" i="67"/>
  <c r="O90" i="67"/>
  <c r="P90" i="67"/>
  <c r="Q90" i="67"/>
  <c r="R90" i="67"/>
  <c r="S90" i="67"/>
  <c r="N91" i="67"/>
  <c r="O91" i="67"/>
  <c r="P91" i="67"/>
  <c r="Q91" i="67"/>
  <c r="R91" i="67"/>
  <c r="S91" i="67"/>
  <c r="N92" i="67"/>
  <c r="O92" i="67"/>
  <c r="P92" i="67"/>
  <c r="Q92" i="67"/>
  <c r="R92" i="67"/>
  <c r="S92" i="67"/>
  <c r="N93" i="67"/>
  <c r="O93" i="67"/>
  <c r="P93" i="67"/>
  <c r="Q93" i="67"/>
  <c r="R93" i="67"/>
  <c r="S93" i="67"/>
  <c r="N94" i="67"/>
  <c r="O94" i="67"/>
  <c r="P94" i="67"/>
  <c r="Q94" i="67"/>
  <c r="R94" i="67"/>
  <c r="S94" i="67"/>
  <c r="N95" i="67"/>
  <c r="O95" i="67"/>
  <c r="P95" i="67"/>
  <c r="Q95" i="67"/>
  <c r="R95" i="67"/>
  <c r="S95" i="67"/>
  <c r="N96" i="67"/>
  <c r="O96" i="67"/>
  <c r="P96" i="67"/>
  <c r="Q96" i="67"/>
  <c r="R96" i="67"/>
  <c r="S96" i="67"/>
  <c r="N97" i="67"/>
  <c r="O97" i="67"/>
  <c r="P97" i="67"/>
  <c r="Q97" i="67"/>
  <c r="R97" i="67"/>
  <c r="S97" i="67"/>
  <c r="N98" i="67"/>
  <c r="O98" i="67"/>
  <c r="P98" i="67"/>
  <c r="Q98" i="67"/>
  <c r="R98" i="67"/>
  <c r="S98" i="67"/>
  <c r="N99" i="67"/>
  <c r="O99" i="67"/>
  <c r="P99" i="67"/>
  <c r="Q99" i="67"/>
  <c r="R99" i="67"/>
  <c r="S99" i="67"/>
  <c r="N100" i="67"/>
  <c r="O100" i="67"/>
  <c r="P100" i="67"/>
  <c r="Q100" i="67"/>
  <c r="R100" i="67"/>
  <c r="S100" i="67"/>
  <c r="N101" i="67"/>
  <c r="O101" i="67"/>
  <c r="P101" i="67"/>
  <c r="Q101" i="67"/>
  <c r="R101" i="67"/>
  <c r="S101" i="67"/>
  <c r="N102" i="67"/>
  <c r="O102" i="67"/>
  <c r="P102" i="67"/>
  <c r="Q102" i="67"/>
  <c r="R102" i="67"/>
  <c r="S102" i="67"/>
  <c r="N103" i="67"/>
  <c r="O103" i="67"/>
  <c r="P103" i="67"/>
  <c r="Q103" i="67"/>
  <c r="R103" i="67"/>
  <c r="S103" i="67"/>
  <c r="N104" i="67"/>
  <c r="O104" i="67"/>
  <c r="P104" i="67"/>
  <c r="Q104" i="67"/>
  <c r="R104" i="67"/>
  <c r="S104" i="67"/>
  <c r="N105" i="67"/>
  <c r="O105" i="67"/>
  <c r="P105" i="67"/>
  <c r="Q105" i="67"/>
  <c r="R105" i="67"/>
  <c r="S105" i="67"/>
  <c r="N106" i="67"/>
  <c r="O106" i="67"/>
  <c r="P106" i="67"/>
  <c r="Q106" i="67"/>
  <c r="R106" i="67"/>
  <c r="S106" i="67"/>
  <c r="N107" i="67"/>
  <c r="O107" i="67"/>
  <c r="P107" i="67"/>
  <c r="Q107" i="67"/>
  <c r="R107" i="67"/>
  <c r="S107" i="67"/>
  <c r="N108" i="67"/>
  <c r="O108" i="67"/>
  <c r="P108" i="67"/>
  <c r="Q108" i="67"/>
  <c r="R108" i="67"/>
  <c r="S108" i="67"/>
  <c r="N109" i="67"/>
  <c r="O109" i="67"/>
  <c r="P109" i="67"/>
  <c r="Q109" i="67"/>
  <c r="R109" i="67"/>
  <c r="S109" i="67"/>
  <c r="N110" i="67"/>
  <c r="O110" i="67"/>
  <c r="P110" i="67"/>
  <c r="Q110" i="67"/>
  <c r="R110" i="67"/>
  <c r="S110" i="67"/>
  <c r="N111" i="67"/>
  <c r="O111" i="67"/>
  <c r="P111" i="67"/>
  <c r="Q111" i="67"/>
  <c r="R111" i="67"/>
  <c r="S111" i="67"/>
  <c r="N112" i="67"/>
  <c r="O112" i="67"/>
  <c r="P112" i="67"/>
  <c r="Q112" i="67"/>
  <c r="R112" i="67"/>
  <c r="S112" i="67"/>
  <c r="N113" i="67"/>
  <c r="O113" i="67"/>
  <c r="P113" i="67"/>
  <c r="Q113" i="67"/>
  <c r="R113" i="67"/>
  <c r="S113" i="67"/>
  <c r="N114" i="67"/>
  <c r="O114" i="67"/>
  <c r="P114" i="67"/>
  <c r="Q114" i="67"/>
  <c r="R114" i="67"/>
  <c r="S114" i="67"/>
  <c r="N115" i="67"/>
  <c r="O115" i="67"/>
  <c r="P115" i="67"/>
  <c r="Q115" i="67"/>
  <c r="R115" i="67"/>
  <c r="S115" i="67"/>
  <c r="N116" i="67"/>
  <c r="O116" i="67"/>
  <c r="P116" i="67"/>
  <c r="Q116" i="67"/>
  <c r="R116" i="67"/>
  <c r="S116" i="67"/>
  <c r="N117" i="67"/>
  <c r="O117" i="67"/>
  <c r="P117" i="67"/>
  <c r="Q117" i="67"/>
  <c r="R117" i="67"/>
  <c r="S117" i="67"/>
  <c r="N118" i="67"/>
  <c r="O118" i="67"/>
  <c r="P118" i="67"/>
  <c r="Q118" i="67"/>
  <c r="R118" i="67"/>
  <c r="S118" i="67"/>
  <c r="N119" i="67"/>
  <c r="O119" i="67"/>
  <c r="P119" i="67"/>
  <c r="Q119" i="67"/>
  <c r="R119" i="67"/>
  <c r="S119" i="67"/>
  <c r="N120" i="67"/>
  <c r="O120" i="67"/>
  <c r="P120" i="67"/>
  <c r="Q120" i="67"/>
  <c r="R120" i="67"/>
  <c r="S120" i="67"/>
  <c r="N121" i="67"/>
  <c r="O121" i="67"/>
  <c r="P121" i="67"/>
  <c r="Q121" i="67"/>
  <c r="R121" i="67"/>
  <c r="S121" i="67"/>
  <c r="N122" i="67"/>
  <c r="O122" i="67"/>
  <c r="P122" i="67"/>
  <c r="Q122" i="67"/>
  <c r="R122" i="67"/>
  <c r="S122" i="67"/>
  <c r="N123" i="67"/>
  <c r="O123" i="67"/>
  <c r="P123" i="67"/>
  <c r="Q123" i="67"/>
  <c r="R123" i="67"/>
  <c r="S123" i="67"/>
  <c r="N124" i="67"/>
  <c r="O124" i="67"/>
  <c r="P124" i="67"/>
  <c r="Q124" i="67"/>
  <c r="R124" i="67"/>
  <c r="S124" i="67"/>
  <c r="N125" i="67"/>
  <c r="O125" i="67"/>
  <c r="P125" i="67"/>
  <c r="Q125" i="67"/>
  <c r="R125" i="67"/>
  <c r="S125" i="67"/>
  <c r="N126" i="67"/>
  <c r="O126" i="67"/>
  <c r="P126" i="67"/>
  <c r="Q126" i="67"/>
  <c r="R126" i="67"/>
  <c r="S126" i="67"/>
  <c r="N127" i="67"/>
  <c r="O127" i="67"/>
  <c r="P127" i="67"/>
  <c r="Q127" i="67"/>
  <c r="R127" i="67"/>
  <c r="S127" i="67"/>
  <c r="N128" i="67"/>
  <c r="O128" i="67"/>
  <c r="P128" i="67"/>
  <c r="Q128" i="67"/>
  <c r="R128" i="67"/>
  <c r="S128" i="67"/>
  <c r="N129" i="67"/>
  <c r="O129" i="67"/>
  <c r="P129" i="67"/>
  <c r="Q129" i="67"/>
  <c r="R129" i="67"/>
  <c r="S129" i="67"/>
  <c r="N130" i="67"/>
  <c r="O130" i="67"/>
  <c r="P130" i="67"/>
  <c r="Q130" i="67"/>
  <c r="R130" i="67"/>
  <c r="S130" i="67"/>
  <c r="N131" i="67"/>
  <c r="O131" i="67"/>
  <c r="P131" i="67"/>
  <c r="Q131" i="67"/>
  <c r="R131" i="67"/>
  <c r="S131" i="67"/>
  <c r="N132" i="67"/>
  <c r="O132" i="67"/>
  <c r="P132" i="67"/>
  <c r="Q132" i="67"/>
  <c r="R132" i="67"/>
  <c r="S132" i="67"/>
  <c r="N133" i="67"/>
  <c r="O133" i="67"/>
  <c r="P133" i="67"/>
  <c r="Q133" i="67"/>
  <c r="R133" i="67"/>
  <c r="S133" i="67"/>
  <c r="N134" i="67"/>
  <c r="O134" i="67"/>
  <c r="P134" i="67"/>
  <c r="Q134" i="67"/>
  <c r="R134" i="67"/>
  <c r="S134" i="67"/>
  <c r="N135" i="67"/>
  <c r="O135" i="67"/>
  <c r="P135" i="67"/>
  <c r="Q135" i="67"/>
  <c r="R135" i="67"/>
  <c r="S135" i="67"/>
  <c r="N136" i="67"/>
  <c r="O136" i="67"/>
  <c r="P136" i="67"/>
  <c r="Q136" i="67"/>
  <c r="R136" i="67"/>
  <c r="S136" i="67"/>
  <c r="N137" i="67"/>
  <c r="O137" i="67"/>
  <c r="P137" i="67"/>
  <c r="Q137" i="67"/>
  <c r="R137" i="67"/>
  <c r="S137" i="67"/>
  <c r="N138" i="67"/>
  <c r="O138" i="67"/>
  <c r="P138" i="67"/>
  <c r="Q138" i="67"/>
  <c r="R138" i="67"/>
  <c r="S138" i="67"/>
  <c r="N139" i="67"/>
  <c r="O139" i="67"/>
  <c r="P139" i="67"/>
  <c r="Q139" i="67"/>
  <c r="R139" i="67"/>
  <c r="S139" i="67"/>
  <c r="N140" i="67"/>
  <c r="O140" i="67"/>
  <c r="P140" i="67"/>
  <c r="Q140" i="67"/>
  <c r="R140" i="67"/>
  <c r="S140" i="67"/>
  <c r="N141" i="67"/>
  <c r="O141" i="67"/>
  <c r="P141" i="67"/>
  <c r="Q141" i="67"/>
  <c r="R141" i="67"/>
  <c r="S141" i="67"/>
  <c r="N142" i="67"/>
  <c r="O142" i="67"/>
  <c r="P142" i="67"/>
  <c r="Q142" i="67"/>
  <c r="R142" i="67"/>
  <c r="S142" i="67"/>
  <c r="N143" i="67"/>
  <c r="O143" i="67"/>
  <c r="P143" i="67"/>
  <c r="Q143" i="67"/>
  <c r="R143" i="67"/>
  <c r="S143" i="67"/>
  <c r="N144" i="67"/>
  <c r="O144" i="67"/>
  <c r="P144" i="67"/>
  <c r="Q144" i="67"/>
  <c r="R144" i="67"/>
  <c r="S144" i="67"/>
  <c r="N145" i="67"/>
  <c r="O145" i="67"/>
  <c r="P145" i="67"/>
  <c r="Q145" i="67"/>
  <c r="R145" i="67"/>
  <c r="S145" i="67"/>
  <c r="N146" i="67"/>
  <c r="O146" i="67"/>
  <c r="P146" i="67"/>
  <c r="Q146" i="67"/>
  <c r="R146" i="67"/>
  <c r="S146" i="67"/>
  <c r="N147" i="67"/>
  <c r="O147" i="67"/>
  <c r="P147" i="67"/>
  <c r="Q147" i="67"/>
  <c r="R147" i="67"/>
  <c r="S147" i="67"/>
  <c r="N9" i="67"/>
  <c r="O9" i="67"/>
  <c r="P9" i="67"/>
  <c r="Q9" i="67"/>
  <c r="R9" i="67"/>
  <c r="S9" i="67"/>
  <c r="N10" i="67"/>
  <c r="O10" i="67"/>
  <c r="P10" i="67"/>
  <c r="Q10" i="67"/>
  <c r="R10" i="67"/>
  <c r="S10" i="67"/>
  <c r="N11" i="67"/>
  <c r="O11" i="67"/>
  <c r="P11" i="67"/>
  <c r="Q11" i="67"/>
  <c r="R11" i="67"/>
  <c r="S11" i="67"/>
  <c r="N12" i="67"/>
  <c r="O12" i="67"/>
  <c r="P12" i="67"/>
  <c r="Q12" i="67"/>
  <c r="R12" i="67"/>
  <c r="S12" i="67"/>
  <c r="O8" i="67"/>
  <c r="P8" i="67"/>
  <c r="Q8" i="67"/>
  <c r="R8" i="67"/>
  <c r="S8" i="67"/>
  <c r="N8" i="67"/>
  <c r="B2" i="67"/>
  <c r="B2" i="66" s="1"/>
  <c r="B2" i="65" s="1"/>
  <c r="B2" i="64" s="1"/>
  <c r="B2" i="63" s="1"/>
  <c r="B2" i="62" s="1"/>
  <c r="B2" i="61" s="1"/>
  <c r="B2" i="60" s="1"/>
  <c r="B2" i="59" s="1"/>
  <c r="B2" i="58" s="1"/>
  <c r="B2" i="57" s="1"/>
  <c r="B2" i="56" s="1"/>
  <c r="B2" i="55" s="1"/>
  <c r="B2" i="54" s="1"/>
  <c r="B2" i="53" s="1"/>
  <c r="B2" i="52" s="1"/>
  <c r="B2" i="51" s="1"/>
  <c r="B2" i="50" s="1"/>
  <c r="B2" i="49" s="1"/>
  <c r="B2" i="48" s="1"/>
  <c r="B2" i="47" s="1"/>
  <c r="B2" i="46" s="1"/>
  <c r="B2" i="45" s="1"/>
  <c r="B2" i="43" s="1"/>
  <c r="B2" i="42" s="1"/>
  <c r="B2" i="41" s="1"/>
  <c r="B2" i="39" s="1"/>
  <c r="B2" i="38" s="1"/>
  <c r="B2" i="40" s="1"/>
  <c r="B2" i="44" s="1"/>
</calcChain>
</file>

<file path=xl/sharedStrings.xml><?xml version="1.0" encoding="utf-8"?>
<sst xmlns="http://schemas.openxmlformats.org/spreadsheetml/2006/main" count="20704" uniqueCount="402">
  <si>
    <t>REGISTRO DE INGRESO Y SALIDA DE TRABAJADORES Y PERSONAS EXTERNAS</t>
  </si>
  <si>
    <t xml:space="preserve">HORARIOS </t>
  </si>
  <si>
    <t xml:space="preserve">NOMBRE </t>
  </si>
  <si>
    <t>RUT</t>
  </si>
  <si>
    <t>DV</t>
  </si>
  <si>
    <t>CARGO</t>
  </si>
  <si>
    <t>EMPRESA</t>
  </si>
  <si>
    <t>OBSERVACION</t>
  </si>
  <si>
    <t>AGÜERO</t>
  </si>
  <si>
    <t>MARTA</t>
  </si>
  <si>
    <t>JUNIOR ASESOR</t>
  </si>
  <si>
    <t>PRIVADA</t>
  </si>
  <si>
    <t>AGUILA SANCHEZ</t>
  </si>
  <si>
    <t>JUAN LUIS</t>
  </si>
  <si>
    <t>CONTROL DE LOGISTICA</t>
  </si>
  <si>
    <t>TRESOL</t>
  </si>
  <si>
    <t>AGUILAR HERNANDEZ</t>
  </si>
  <si>
    <t>FRANCISCO</t>
  </si>
  <si>
    <t>ASISTENTE RRHH</t>
  </si>
  <si>
    <t>ALCAINO CARDENAS</t>
  </si>
  <si>
    <t>CLAUDIO ALEJANDRO</t>
  </si>
  <si>
    <t>ASISTENTE DE LOGISTICA</t>
  </si>
  <si>
    <t>ALMONACID SOTO</t>
  </si>
  <si>
    <t>JORGE PATRICIO</t>
  </si>
  <si>
    <t>SOLDADOR</t>
  </si>
  <si>
    <t>ALVARADO ALVARADO</t>
  </si>
  <si>
    <t>BERNARDO MARCELO</t>
  </si>
  <si>
    <t>K</t>
  </si>
  <si>
    <t>CHOFER</t>
  </si>
  <si>
    <t>ARIDOS</t>
  </si>
  <si>
    <t>ALVARADO MELLA</t>
  </si>
  <si>
    <t>LUIS ADOLFO</t>
  </si>
  <si>
    <t>AYUDANTE MECANICO</t>
  </si>
  <si>
    <t>ALVARADO TORRES</t>
  </si>
  <si>
    <t>JORGE ANDRÉS</t>
  </si>
  <si>
    <t>ENCARGADO DE ADQUISICIONES</t>
  </si>
  <si>
    <t>JORNAL</t>
  </si>
  <si>
    <t>AMPUERO MUÑOZ</t>
  </si>
  <si>
    <t>JUAN RAMON</t>
  </si>
  <si>
    <t>GERENTE COMERCIAL-OPERACIONES</t>
  </si>
  <si>
    <t>ANTIÑANCO PACHECO</t>
  </si>
  <si>
    <t>DANIEL FERNANDO</t>
  </si>
  <si>
    <t>CONDUCTOR</t>
  </si>
  <si>
    <t>ANTRIS ULLOA</t>
  </si>
  <si>
    <t>JOSE BENEDICTO</t>
  </si>
  <si>
    <t>ASENCIO CÁRCAMO</t>
  </si>
  <si>
    <t>CLAUDIA BELÉN</t>
  </si>
  <si>
    <t>ASISTENTE CONTABLE DE FINANZAS</t>
  </si>
  <si>
    <t>AVILA CHACON</t>
  </si>
  <si>
    <t>JULIO ANDRES</t>
  </si>
  <si>
    <t>OPERADOR MAQUINA</t>
  </si>
  <si>
    <t>BARRIA</t>
  </si>
  <si>
    <t xml:space="preserve">PEDRO   </t>
  </si>
  <si>
    <t>OPERARIO CONDUCTOR</t>
  </si>
  <si>
    <t>BOHLE RODRIGUEZ</t>
  </si>
  <si>
    <t>BARBARA ALEJANDRA</t>
  </si>
  <si>
    <t>ADMINISTRATIVO</t>
  </si>
  <si>
    <t>ERSAN</t>
  </si>
  <si>
    <t>BORDEN MUÑOZ</t>
  </si>
  <si>
    <t>JORGE AMERICO</t>
  </si>
  <si>
    <t>BUSTAMANTE VILLARROEL</t>
  </si>
  <si>
    <t>JORGE EDUARDO</t>
  </si>
  <si>
    <t>CÁCERES AROCA</t>
  </si>
  <si>
    <t>ROCÍO PAULINA</t>
  </si>
  <si>
    <t>CARCAMO CAUCAU</t>
  </si>
  <si>
    <t>ROBERTO CARLOS</t>
  </si>
  <si>
    <t>CARCAMO HUAIQUIN</t>
  </si>
  <si>
    <t>JAVIERA FRANCISCA</t>
  </si>
  <si>
    <t>NICOLAS IGNACIO</t>
  </si>
  <si>
    <t>CARCAMO OYARZUN</t>
  </si>
  <si>
    <t>NICOLAS</t>
  </si>
  <si>
    <t>GERENTE GENERAL</t>
  </si>
  <si>
    <t>CARDENAS ARTEAGA</t>
  </si>
  <si>
    <t>EGON JUAN</t>
  </si>
  <si>
    <t>HECTOR ELIECER</t>
  </si>
  <si>
    <t>OPERARIO</t>
  </si>
  <si>
    <t>CARDENAS ROSAS</t>
  </si>
  <si>
    <t>ARMIN ANDESON</t>
  </si>
  <si>
    <t>CARRASCO VERGARA</t>
  </si>
  <si>
    <t>CARLOS ANYELO</t>
  </si>
  <si>
    <t>CRISTIAN ISAIAS</t>
  </si>
  <si>
    <t>CARVAJAL SOTO</t>
  </si>
  <si>
    <t>FERNANDO MARCELO</t>
  </si>
  <si>
    <t>OPERARIO DE SEGREGACIÓN</t>
  </si>
  <si>
    <t>CASTRO APABLAZA</t>
  </si>
  <si>
    <t>JAIME PATRICIO</t>
  </si>
  <si>
    <t>JEFE TALLER</t>
  </si>
  <si>
    <t>CASTRO ROJAS</t>
  </si>
  <si>
    <t>ENRIQUE HERNAN</t>
  </si>
  <si>
    <t>CEA OYARZO</t>
  </si>
  <si>
    <t>OSCAR DANIEL</t>
  </si>
  <si>
    <t>MECANICO</t>
  </si>
  <si>
    <t>COBOS RAMIREZ</t>
  </si>
  <si>
    <t>YSLANDIN DANNEL</t>
  </si>
  <si>
    <t>CONTRERAS MILLACHEO</t>
  </si>
  <si>
    <t>EDUARDO IGNACIO</t>
  </si>
  <si>
    <t>CORONADO CARRASCO</t>
  </si>
  <si>
    <t>YONATAN ESTEBAN</t>
  </si>
  <si>
    <t>CORTES RIVAS</t>
  </si>
  <si>
    <t>DIONISIO ALEXANDER</t>
  </si>
  <si>
    <t>ROCIO YAMILLETT</t>
  </si>
  <si>
    <t>DE LA PAZ BARRIA</t>
  </si>
  <si>
    <t>JAIME IVAN</t>
  </si>
  <si>
    <t>FERREIRA GOMEZ</t>
  </si>
  <si>
    <t>HELMUTH HERIBERTO</t>
  </si>
  <si>
    <t>GALLEGOS PEREZ</t>
  </si>
  <si>
    <t>HECTOR AMERICO</t>
  </si>
  <si>
    <t>GARCIA MUÑOZ</t>
  </si>
  <si>
    <t>MOISES ALEJANDRO</t>
  </si>
  <si>
    <t>GARCIA VIDAL</t>
  </si>
  <si>
    <t>GODOY CASTRO</t>
  </si>
  <si>
    <t>LUIS EDUARDO</t>
  </si>
  <si>
    <t>GODOY OYARZO</t>
  </si>
  <si>
    <t>ISOLINA ESTER</t>
  </si>
  <si>
    <t>ENCARGADA DE ASEO</t>
  </si>
  <si>
    <t>GOMEZ GOMEZ</t>
  </si>
  <si>
    <t>LILIANA DEL CARMEN</t>
  </si>
  <si>
    <t>GOMEZ NAHUELQUIN</t>
  </si>
  <si>
    <t>JOSE ANTONIO</t>
  </si>
  <si>
    <t>GONZALEZ CARDENAS</t>
  </si>
  <si>
    <t>JEFE DE FLOTA</t>
  </si>
  <si>
    <t>GONZALEZ PAREDES</t>
  </si>
  <si>
    <t>CYNTHIA KARINA</t>
  </si>
  <si>
    <t>GUERRERO ARGEL</t>
  </si>
  <si>
    <t>MARIA PAZ</t>
  </si>
  <si>
    <t>SUB GERENTE FINANZAS</t>
  </si>
  <si>
    <t>HERNANDEZ MARTINEZ</t>
  </si>
  <si>
    <t>JUDITH DE LURDES</t>
  </si>
  <si>
    <t>SERGIO EMILIANO</t>
  </si>
  <si>
    <t>HUAIQUIN MONTALVA</t>
  </si>
  <si>
    <t>SANDRA MAGALY</t>
  </si>
  <si>
    <t>GERENTE FINANZAS</t>
  </si>
  <si>
    <t>HUEICHAN CARDENAS</t>
  </si>
  <si>
    <t>ENCARG. INFORMATICA</t>
  </si>
  <si>
    <t>IBARRA</t>
  </si>
  <si>
    <t>ENIO RAFAEL</t>
  </si>
  <si>
    <t>LADY</t>
  </si>
  <si>
    <t>OPERACIONES</t>
  </si>
  <si>
    <t>ITURRIAGA MANSILLA</t>
  </si>
  <si>
    <t>MARCOS ANDRES</t>
  </si>
  <si>
    <t>JARA  GALVEZ</t>
  </si>
  <si>
    <t>MARCELO EDUARDO</t>
  </si>
  <si>
    <t>JEFE DE OBRA</t>
  </si>
  <si>
    <t>JARA QUEZADA</t>
  </si>
  <si>
    <t>FRANCISCO JAVIER</t>
  </si>
  <si>
    <t>KRAUSE VASQUEZ</t>
  </si>
  <si>
    <t>KATHERINE ANDREA</t>
  </si>
  <si>
    <t>LEIVA LEAL</t>
  </si>
  <si>
    <t>CLAUDIO ANDRES</t>
  </si>
  <si>
    <t>SUPERVISOR</t>
  </si>
  <si>
    <t>LINCOCHEO LINCOCHEO</t>
  </si>
  <si>
    <t>CLAUDIO FRANCISCO</t>
  </si>
  <si>
    <t>LOPEZ URZUA</t>
  </si>
  <si>
    <t>MANUEL IGNACIO</t>
  </si>
  <si>
    <t>MALDONADO CESPED</t>
  </si>
  <si>
    <t>MACARENA FRANCISCA</t>
  </si>
  <si>
    <t>SECRETARIA ADMINISTRATIVA</t>
  </si>
  <si>
    <t>MANCILLA SOLDAN</t>
  </si>
  <si>
    <t>ESTEBAN ALEJANDRO</t>
  </si>
  <si>
    <t xml:space="preserve">SUB GERENTE PREVENCION </t>
  </si>
  <si>
    <t>MANSILLA AGUILAR</t>
  </si>
  <si>
    <t>OCTAVIO PATRICIO</t>
  </si>
  <si>
    <t>MANSILLA ARJEL</t>
  </si>
  <si>
    <t>CAMILO ANDRES</t>
  </si>
  <si>
    <t>MANSILLA DEL RIO</t>
  </si>
  <si>
    <t>HERIBERTO</t>
  </si>
  <si>
    <t>MANSILLA VILLEGAS</t>
  </si>
  <si>
    <t>RONALD ANDRES</t>
  </si>
  <si>
    <t>MARICAHUIN GONZALEZ</t>
  </si>
  <si>
    <t>RENE DELMIRO</t>
  </si>
  <si>
    <t>SERGIO</t>
  </si>
  <si>
    <t>MARIN PAREDES</t>
  </si>
  <si>
    <t>EVELYN DEL CARMEN</t>
  </si>
  <si>
    <t>MAYORGA CARDENAS</t>
  </si>
  <si>
    <t>ANDRES ALEJANDRO</t>
  </si>
  <si>
    <t>MELILLANCA MELILLANCA</t>
  </si>
  <si>
    <t>JOSE LUIS</t>
  </si>
  <si>
    <t>MIRANDA HERNANDEZ</t>
  </si>
  <si>
    <t>RODOLFO ALEJANDRO</t>
  </si>
  <si>
    <t>MORA ARRIAGADA</t>
  </si>
  <si>
    <t>JUAN RENE</t>
  </si>
  <si>
    <t>MORAGA CHAURA</t>
  </si>
  <si>
    <t>ADALICIO FERNANDO</t>
  </si>
  <si>
    <t>MORAGA SILVA</t>
  </si>
  <si>
    <t>MUÑOZ HUAIQUIPAN</t>
  </si>
  <si>
    <t>NATALIA DEL ROSARIO</t>
  </si>
  <si>
    <t xml:space="preserve">ASISTENTE PREVENCION </t>
  </si>
  <si>
    <t>MUÑOZ MILLACHEO</t>
  </si>
  <si>
    <t>NAHUELPAN GAJARDO</t>
  </si>
  <si>
    <t>JORGE HERNAN</t>
  </si>
  <si>
    <t>NAVARRETE LABRA</t>
  </si>
  <si>
    <t>BASTIAN ARIEL</t>
  </si>
  <si>
    <t>NAVARRO URREA</t>
  </si>
  <si>
    <t>JULIO CRISTOFER</t>
  </si>
  <si>
    <t>OCAMPO</t>
  </si>
  <si>
    <t>CESAR EDUARDO</t>
  </si>
  <si>
    <t>OJEDA MINTE</t>
  </si>
  <si>
    <t>VICTOR ROBINSON</t>
  </si>
  <si>
    <t>OLIVAREZ CARCAMO</t>
  </si>
  <si>
    <t>JUAN</t>
  </si>
  <si>
    <t>PAILLAMAN CARCAMO</t>
  </si>
  <si>
    <t>SANDRA MARICEL</t>
  </si>
  <si>
    <t>GERENTE GESTIÓN Y PLANIF.</t>
  </si>
  <si>
    <t>PARDO BORQUEZ</t>
  </si>
  <si>
    <t>IGNACIO EDUARDO</t>
  </si>
  <si>
    <t>ASIST. GESTIÓN Y PLANIFICACION</t>
  </si>
  <si>
    <t>PAREDES MUÑOZ</t>
  </si>
  <si>
    <t>EVERARDO IGNACIO</t>
  </si>
  <si>
    <t>JEFE OPERACIONES</t>
  </si>
  <si>
    <t>PAREDES URBE</t>
  </si>
  <si>
    <t>OMAR ALEJANDRO</t>
  </si>
  <si>
    <t>PEREZ BORQUEZ</t>
  </si>
  <si>
    <t>JOSE HERNAN</t>
  </si>
  <si>
    <t>POZO BARRIA</t>
  </si>
  <si>
    <t>VICTOR HUGO</t>
  </si>
  <si>
    <t>PROVOSTE PINTO</t>
  </si>
  <si>
    <t>CÉSAR MAURICIO</t>
  </si>
  <si>
    <t>REYES DELAGADO</t>
  </si>
  <si>
    <t>OSVALDO ARTURO</t>
  </si>
  <si>
    <t>RIQUELME NAVARRETE</t>
  </si>
  <si>
    <t>ALBERT PATRICK</t>
  </si>
  <si>
    <t>RIVERAS VARGAS</t>
  </si>
  <si>
    <t>CRISTIAN ALONSO</t>
  </si>
  <si>
    <t>ROBLES LEON</t>
  </si>
  <si>
    <t>MARGARET JOSELIN</t>
  </si>
  <si>
    <t xml:space="preserve">JEFA ADQUISICIONES </t>
  </si>
  <si>
    <t>RODRIGUEZ</t>
  </si>
  <si>
    <t>MARIO ALFREDO</t>
  </si>
  <si>
    <t>RODRIGUEZ LOPETEGUI</t>
  </si>
  <si>
    <t>EUGENIA CRISTINA</t>
  </si>
  <si>
    <t>RODRIGUEZ VALDEBENITO</t>
  </si>
  <si>
    <t>IVAN RICARDO</t>
  </si>
  <si>
    <t xml:space="preserve">ROSAS VARGAS </t>
  </si>
  <si>
    <t>MARCIA</t>
  </si>
  <si>
    <t>SALDIVIA VIDAL</t>
  </si>
  <si>
    <t>ANDRES LUCIANO</t>
  </si>
  <si>
    <t>SANCHEZ VIVAS</t>
  </si>
  <si>
    <t>ANGEL JOSUE</t>
  </si>
  <si>
    <t>SANTANA ALARCON</t>
  </si>
  <si>
    <t>LUIS ANDRES</t>
  </si>
  <si>
    <t>SCHMUCK BOHLE</t>
  </si>
  <si>
    <t>IVAN EDUARDO</t>
  </si>
  <si>
    <t>SEGURA CARES</t>
  </si>
  <si>
    <t>ERWIN ANTONIO</t>
  </si>
  <si>
    <t>SILVA</t>
  </si>
  <si>
    <t>MARIO</t>
  </si>
  <si>
    <t>ASESOR</t>
  </si>
  <si>
    <t>GESTOR SPA</t>
  </si>
  <si>
    <t>SOLIS</t>
  </si>
  <si>
    <t>DANIEL ALFONSO</t>
  </si>
  <si>
    <t>SOTO BARRIA</t>
  </si>
  <si>
    <t>ERVIN DARIO</t>
  </si>
  <si>
    <t>SOTO GUZMAN</t>
  </si>
  <si>
    <t>LUIS ALEJANDRO</t>
  </si>
  <si>
    <t>SOTO OJEDA</t>
  </si>
  <si>
    <t>ERVIN ARIEL</t>
  </si>
  <si>
    <t>SOTO PEREZ</t>
  </si>
  <si>
    <t>RODOLFO ALIRO</t>
  </si>
  <si>
    <t>ENCARGADO DE COMPRAS</t>
  </si>
  <si>
    <t>SOTO SOTO</t>
  </si>
  <si>
    <t>JORGE ALEJANDRO</t>
  </si>
  <si>
    <t>TELLEZ ARGEL</t>
  </si>
  <si>
    <t>CRISTIAN ALEJANDRO</t>
  </si>
  <si>
    <t>OPERARIO PATIO</t>
  </si>
  <si>
    <t>TENORIO OYARZO</t>
  </si>
  <si>
    <t>JORGE MARCELO</t>
  </si>
  <si>
    <t xml:space="preserve">ELECTRO MECANICO </t>
  </si>
  <si>
    <t>TORO MAULEN</t>
  </si>
  <si>
    <t>DANIEL ANDRES</t>
  </si>
  <si>
    <t>CONTROL LOGISTICO</t>
  </si>
  <si>
    <t>TORO SANCHEZ</t>
  </si>
  <si>
    <t>NATALIA GREESE</t>
  </si>
  <si>
    <t>ASISTENTE FINAZAS</t>
  </si>
  <si>
    <t>TORREALBA VALENZUELA</t>
  </si>
  <si>
    <t>MAURICIO JAVIER</t>
  </si>
  <si>
    <t>TORRES ALMONACID</t>
  </si>
  <si>
    <t>TROQUIAN VIDAL</t>
  </si>
  <si>
    <t>ROLANDO ARTEMIO</t>
  </si>
  <si>
    <t>URIBE PEREZ</t>
  </si>
  <si>
    <t>JUAN ORLANDO</t>
  </si>
  <si>
    <t xml:space="preserve">COSINERA </t>
  </si>
  <si>
    <t>VARGAS ALMONACID</t>
  </si>
  <si>
    <t>VARGAS HERNANDEZ</t>
  </si>
  <si>
    <t>EDUARDO ANTONIO</t>
  </si>
  <si>
    <t>VARGAS TOLEDO</t>
  </si>
  <si>
    <t>SUBGERENTE RRHH</t>
  </si>
  <si>
    <t>VARGAS VARGAS</t>
  </si>
  <si>
    <t>CAROLINA ALEJANDRA</t>
  </si>
  <si>
    <t>JEFA FINAZAS</t>
  </si>
  <si>
    <t>ROBINSON RODRIGO</t>
  </si>
  <si>
    <t>VASQUEZ ANTIPAN</t>
  </si>
  <si>
    <t>LUIS FELIPE</t>
  </si>
  <si>
    <t>ESCOBAR</t>
  </si>
  <si>
    <t>FABRICIO</t>
  </si>
  <si>
    <t>CONTRATISTA</t>
  </si>
  <si>
    <t>EXTERNO</t>
  </si>
  <si>
    <t>CARDENAS</t>
  </si>
  <si>
    <t>ANDRES</t>
  </si>
  <si>
    <t>BARRIENTOS TORRES</t>
  </si>
  <si>
    <t>KENIA ALEJANDRA</t>
  </si>
  <si>
    <t>RIQUELME MUÑOZ</t>
  </si>
  <si>
    <t>MARTIN DIEGO</t>
  </si>
  <si>
    <t>ASISTENTE PREVENCION</t>
  </si>
  <si>
    <t>RIVAL</t>
  </si>
  <si>
    <t>CRISTIAN</t>
  </si>
  <si>
    <t>JOSUE</t>
  </si>
  <si>
    <t>PARTICULAR</t>
  </si>
  <si>
    <t>APELLIDO</t>
  </si>
  <si>
    <t>JOSE</t>
  </si>
  <si>
    <t>ELECTRICO</t>
  </si>
  <si>
    <t>CARRASCO</t>
  </si>
  <si>
    <t>CESAR</t>
  </si>
  <si>
    <t>ENCARGADA DE CASINO</t>
  </si>
  <si>
    <t>CORONADO BARRIA</t>
  </si>
  <si>
    <t>HERNAN</t>
  </si>
  <si>
    <t>GOMEZ</t>
  </si>
  <si>
    <t>externo</t>
  </si>
  <si>
    <t>SEBASTIAN</t>
  </si>
  <si>
    <t>RODRIGO</t>
  </si>
  <si>
    <t>SEMPE</t>
  </si>
  <si>
    <t>REPARTIDOR</t>
  </si>
  <si>
    <t>MARYUN</t>
  </si>
  <si>
    <t>MARTINES</t>
  </si>
  <si>
    <t>CADAGAN</t>
  </si>
  <si>
    <t>VENDEDOR</t>
  </si>
  <si>
    <t>KAUFMANN</t>
  </si>
  <si>
    <t>BARENDS</t>
  </si>
  <si>
    <t>AUGUSTO</t>
  </si>
  <si>
    <t>EMPRESA BARENDS</t>
  </si>
  <si>
    <t>ARCE</t>
  </si>
  <si>
    <t>MARCO</t>
  </si>
  <si>
    <t>JEFE DE OPERACIONES</t>
  </si>
  <si>
    <t>BRIGA SUR</t>
  </si>
  <si>
    <t>TRACK MARC</t>
  </si>
  <si>
    <t>SAEZ</t>
  </si>
  <si>
    <t>ESTEBAN</t>
  </si>
  <si>
    <t>T.T.P</t>
  </si>
  <si>
    <t>SAL.</t>
  </si>
  <si>
    <t>ING.</t>
  </si>
  <si>
    <t>PATENTE</t>
  </si>
  <si>
    <t>Particular</t>
  </si>
  <si>
    <t>HJ CP 67</t>
  </si>
  <si>
    <t>CH VD 16</t>
  </si>
  <si>
    <t>KMR714</t>
  </si>
  <si>
    <t>HD FZ 51</t>
  </si>
  <si>
    <t xml:space="preserve"> RAMON</t>
  </si>
  <si>
    <t>KB GD 89</t>
  </si>
  <si>
    <t>JJ FX 79</t>
  </si>
  <si>
    <t>SR YP 72</t>
  </si>
  <si>
    <t>HS GB 34</t>
  </si>
  <si>
    <t>CW XR 34</t>
  </si>
  <si>
    <t>SL XY 20</t>
  </si>
  <si>
    <t>KV BG 16</t>
  </si>
  <si>
    <t xml:space="preserve">JZ WH 82 </t>
  </si>
  <si>
    <t>KW HB 79</t>
  </si>
  <si>
    <t>JX YX 14</t>
  </si>
  <si>
    <t>ENRRIQUEZ</t>
  </si>
  <si>
    <t>JEANETTE</t>
  </si>
  <si>
    <t>FB FW 51</t>
  </si>
  <si>
    <t>HW DT 58</t>
  </si>
  <si>
    <t>RF RD 79</t>
  </si>
  <si>
    <t>BEATRIZ</t>
  </si>
  <si>
    <t>18:205467</t>
  </si>
  <si>
    <t>MAESTRA DE COSINA</t>
  </si>
  <si>
    <t xml:space="preserve"> IGNACIO</t>
  </si>
  <si>
    <t>BV TJ 82</t>
  </si>
  <si>
    <t>IRACI</t>
  </si>
  <si>
    <t>RW WV 13</t>
  </si>
  <si>
    <t>RZ TW 42</t>
  </si>
  <si>
    <t>INAYADO</t>
  </si>
  <si>
    <t>BRAULIO</t>
  </si>
  <si>
    <t>MECANICO EN PRACTICA</t>
  </si>
  <si>
    <t>LF CX 32</t>
  </si>
  <si>
    <t>ZV 19 43</t>
  </si>
  <si>
    <t>FB WB 51</t>
  </si>
  <si>
    <t>LP BP16</t>
  </si>
  <si>
    <t>TB GD 29</t>
  </si>
  <si>
    <t>MUÑOS</t>
  </si>
  <si>
    <t>ELICEO</t>
  </si>
  <si>
    <t>MECANICO MASTER</t>
  </si>
  <si>
    <t>NUÑEZ MEZA</t>
  </si>
  <si>
    <t>RODRIGO JAVIER</t>
  </si>
  <si>
    <t>DC WF 38/ WC 40 26</t>
  </si>
  <si>
    <t>JX PD 74</t>
  </si>
  <si>
    <t>RR JC 69</t>
  </si>
  <si>
    <t xml:space="preserve"> DANIEL</t>
  </si>
  <si>
    <t>GY SC 38</t>
  </si>
  <si>
    <t>PP PK 36</t>
  </si>
  <si>
    <t>WC 23 41</t>
  </si>
  <si>
    <t>FD FD 54</t>
  </si>
  <si>
    <t>PK TT 75</t>
  </si>
  <si>
    <t>CC JJ 23</t>
  </si>
  <si>
    <t>PY BT 89</t>
  </si>
  <si>
    <t>SK CL 51</t>
  </si>
  <si>
    <t>RC KL 31</t>
  </si>
  <si>
    <t>DX VC 13</t>
  </si>
  <si>
    <t xml:space="preserve"> ANTONIO</t>
  </si>
  <si>
    <t>LT YB 47</t>
  </si>
  <si>
    <t>DJ BS 68</t>
  </si>
  <si>
    <t>EXTERNOS</t>
  </si>
  <si>
    <t>='01'!N153</t>
  </si>
  <si>
    <t>='01'!N154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</si>
</sst>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340A]dddd\ d&quot; de &quot;mmmm&quot; de &quot;yyyy;@"/>
    <numFmt numFmtId="166" formatCode="hh:mm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theme="3" tint="-0.49998474074526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left" vertical="center" wrapText="1"/>
    </xf>
    <xf numFmtId="0" fontId="2" fillId="2" borderId="0" xfId="0" applyFont="1" applyFill="1"/>
    <xf numFmtId="0" fontId="2" fillId="0" borderId="0" xfId="0" applyFont="1"/>
    <xf numFmtId="164" fontId="1" fillId="2" borderId="0" xfId="0" applyNumberFormat="1" applyFont="1" applyFill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2" fillId="0" borderId="5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3" fontId="4" fillId="0" borderId="5" xfId="0" applyNumberFormat="1" applyFont="1" applyBorder="1"/>
    <xf numFmtId="0" fontId="5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5" fillId="2" borderId="4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3" fillId="3" borderId="5" xfId="0" applyNumberFormat="1" applyFont="1" applyFill="1" applyBorder="1"/>
    <xf numFmtId="49" fontId="2" fillId="2" borderId="5" xfId="0" applyNumberFormat="1" applyFont="1" applyFill="1" applyBorder="1" applyAlignment="1">
      <alignment horizontal="left"/>
    </xf>
    <xf numFmtId="49" fontId="2" fillId="2" borderId="5" xfId="0" applyNumberFormat="1" applyFont="1" applyFill="1" applyBorder="1"/>
    <xf numFmtId="0" fontId="6" fillId="2" borderId="4" xfId="0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4" xfId="0" applyNumberFormat="1" applyFont="1" applyBorder="1"/>
    <xf numFmtId="49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/>
    <xf numFmtId="0" fontId="2" fillId="0" borderId="4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0" xfId="0" applyFont="1" applyFill="1" applyAlignment="1">
      <alignment horizontal="center"/>
    </xf>
    <xf numFmtId="3" fontId="2" fillId="0" borderId="4" xfId="0" applyNumberFormat="1" applyFont="1" applyBorder="1"/>
    <xf numFmtId="0" fontId="2" fillId="0" borderId="10" xfId="0" applyFont="1" applyBorder="1"/>
    <xf numFmtId="49" fontId="2" fillId="2" borderId="4" xfId="0" applyNumberFormat="1" applyFont="1" applyFill="1" applyBorder="1" applyAlignment="1">
      <alignment horizontal="left"/>
    </xf>
    <xf numFmtId="49" fontId="2" fillId="2" borderId="4" xfId="0" applyNumberFormat="1" applyFont="1" applyFill="1" applyBorder="1"/>
    <xf numFmtId="0" fontId="2" fillId="0" borderId="2" xfId="0" applyFont="1" applyBorder="1"/>
    <xf numFmtId="49" fontId="2" fillId="2" borderId="2" xfId="0" applyNumberFormat="1" applyFont="1" applyFill="1" applyBorder="1" applyAlignment="1">
      <alignment horizontal="left"/>
    </xf>
    <xf numFmtId="49" fontId="7" fillId="0" borderId="5" xfId="0" applyNumberFormat="1" applyFont="1" applyBorder="1" applyAlignment="1">
      <alignment horizontal="left"/>
    </xf>
    <xf numFmtId="49" fontId="7" fillId="0" borderId="5" xfId="0" applyNumberFormat="1" applyFont="1" applyBorder="1"/>
    <xf numFmtId="0" fontId="7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/>
    <xf numFmtId="0" fontId="9" fillId="2" borderId="4" xfId="0" applyFont="1" applyFill="1" applyBorder="1" applyAlignment="1">
      <alignment horizontal="center"/>
    </xf>
    <xf numFmtId="166" fontId="2" fillId="0" borderId="4" xfId="0" applyNumberFormat="1" applyFont="1" applyBorder="1"/>
    <xf numFmtId="166" fontId="2" fillId="0" borderId="5" xfId="0" applyNumberFormat="1" applyFont="1" applyBorder="1"/>
    <xf numFmtId="166" fontId="2" fillId="2" borderId="4" xfId="0" applyNumberFormat="1" applyFont="1" applyFill="1" applyBorder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166" fontId="2" fillId="2" borderId="4" xfId="0" applyNumberFormat="1" applyFont="1" applyFill="1" applyBorder="1"/>
    <xf numFmtId="166" fontId="2" fillId="2" borderId="5" xfId="0" applyNumberFormat="1" applyFont="1" applyFill="1" applyBorder="1"/>
    <xf numFmtId="166" fontId="2" fillId="0" borderId="0" xfId="0" applyNumberFormat="1" applyFont="1"/>
    <xf numFmtId="166" fontId="2" fillId="2" borderId="0" xfId="0" applyNumberFormat="1" applyFont="1" applyFill="1" applyAlignment="1">
      <alignment horizontal="center"/>
    </xf>
    <xf numFmtId="166" fontId="4" fillId="0" borderId="4" xfId="0" applyNumberFormat="1" applyFont="1" applyBorder="1"/>
    <xf numFmtId="166" fontId="2" fillId="2" borderId="0" xfId="0" applyNumberFormat="1" applyFont="1" applyFill="1"/>
    <xf numFmtId="166" fontId="2" fillId="2" borderId="4" xfId="0" applyNumberFormat="1" applyFont="1" applyFill="1" applyBorder="1" applyAlignment="1">
      <alignment vertical="center"/>
    </xf>
    <xf numFmtId="166" fontId="2" fillId="0" borderId="4" xfId="0" applyNumberFormat="1" applyFont="1" applyBorder="1" applyAlignment="1">
      <alignment vertical="center"/>
    </xf>
    <xf numFmtId="3" fontId="2" fillId="0" borderId="5" xfId="0" applyNumberFormat="1" applyFont="1" applyBorder="1"/>
    <xf numFmtId="3" fontId="4" fillId="3" borderId="5" xfId="0" applyNumberFormat="1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4" borderId="5" xfId="0" applyNumberFormat="1" applyFont="1" applyFill="1" applyBorder="1"/>
    <xf numFmtId="3" fontId="3" fillId="3" borderId="8" xfId="0" applyNumberFormat="1" applyFont="1" applyFill="1" applyBorder="1"/>
    <xf numFmtId="3" fontId="3" fillId="3" borderId="6" xfId="0" applyNumberFormat="1" applyFont="1" applyFill="1" applyBorder="1"/>
    <xf numFmtId="3" fontId="3" fillId="3" borderId="4" xfId="0" applyNumberFormat="1" applyFont="1" applyFill="1" applyBorder="1"/>
    <xf numFmtId="3" fontId="3" fillId="3" borderId="0" xfId="0" applyNumberFormat="1" applyFont="1" applyFill="1"/>
    <xf numFmtId="3" fontId="2" fillId="2" borderId="4" xfId="0" applyNumberFormat="1" applyFont="1" applyFill="1" applyBorder="1"/>
    <xf numFmtId="3" fontId="3" fillId="2" borderId="4" xfId="0" applyNumberFormat="1" applyFont="1" applyFill="1" applyBorder="1" applyAlignment="1">
      <alignment horizontal="right"/>
    </xf>
    <xf numFmtId="3" fontId="2" fillId="2" borderId="5" xfId="0" applyNumberFormat="1" applyFont="1" applyFill="1" applyBorder="1"/>
    <xf numFmtId="3" fontId="7" fillId="0" borderId="5" xfId="0" applyNumberFormat="1" applyFont="1" applyBorder="1"/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8" fillId="2" borderId="4" xfId="0" applyNumberFormat="1" applyFont="1" applyFill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49" fontId="1" fillId="2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/>
    <xf numFmtId="49" fontId="4" fillId="3" borderId="5" xfId="0" applyNumberFormat="1" applyFont="1" applyFill="1" applyBorder="1"/>
    <xf numFmtId="49" fontId="4" fillId="0" borderId="5" xfId="0" applyNumberFormat="1" applyFont="1" applyBorder="1"/>
    <xf numFmtId="49" fontId="4" fillId="4" borderId="5" xfId="0" applyNumberFormat="1" applyFont="1" applyFill="1" applyBorder="1"/>
    <xf numFmtId="49" fontId="4" fillId="3" borderId="7" xfId="0" applyNumberFormat="1" applyFont="1" applyFill="1" applyBorder="1"/>
    <xf numFmtId="49" fontId="4" fillId="3" borderId="8" xfId="0" applyNumberFormat="1" applyFont="1" applyFill="1" applyBorder="1"/>
    <xf numFmtId="49" fontId="4" fillId="3" borderId="9" xfId="0" applyNumberFormat="1" applyFont="1" applyFill="1" applyBorder="1"/>
    <xf numFmtId="49" fontId="4" fillId="3" borderId="6" xfId="0" applyNumberFormat="1" applyFont="1" applyFill="1" applyBorder="1"/>
    <xf numFmtId="49" fontId="4" fillId="0" borderId="9" xfId="0" applyNumberFormat="1" applyFont="1" applyBorder="1"/>
    <xf numFmtId="49" fontId="4" fillId="0" borderId="6" xfId="0" applyNumberFormat="1" applyFont="1" applyBorder="1"/>
    <xf numFmtId="49" fontId="4" fillId="3" borderId="4" xfId="0" applyNumberFormat="1" applyFont="1" applyFill="1" applyBorder="1"/>
    <xf numFmtId="49" fontId="4" fillId="0" borderId="4" xfId="0" applyNumberFormat="1" applyFont="1" applyBorder="1"/>
    <xf numFmtId="49" fontId="4" fillId="3" borderId="2" xfId="0" applyNumberFormat="1" applyFont="1" applyFill="1" applyBorder="1"/>
    <xf numFmtId="49" fontId="4" fillId="3" borderId="0" xfId="0" applyNumberFormat="1" applyFont="1" applyFill="1"/>
    <xf numFmtId="14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0" fontId="11" fillId="0" borderId="0" xfId="0" applyFont="1"/>
    <xf numFmtId="166" fontId="12" fillId="2" borderId="0" xfId="0" applyNumberFormat="1" applyFont="1" applyFill="1" applyAlignment="1">
      <alignment horizontal="left"/>
    </xf>
    <xf numFmtId="0" fontId="2" fillId="0" borderId="4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/>
    </xf>
    <xf numFmtId="49" fontId="7" fillId="0" borderId="4" xfId="0" applyNumberFormat="1" applyFont="1" applyBorder="1"/>
    <xf numFmtId="3" fontId="7" fillId="0" borderId="4" xfId="0" applyNumberFormat="1" applyFont="1" applyBorder="1"/>
    <xf numFmtId="166" fontId="3" fillId="0" borderId="4" xfId="0" applyNumberFormat="1" applyFont="1" applyBorder="1"/>
    <xf numFmtId="166" fontId="3" fillId="0" borderId="5" xfId="0" applyNumberFormat="1" applyFont="1" applyBorder="1"/>
    <xf numFmtId="49" fontId="3" fillId="0" borderId="5" xfId="1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6" fontId="3" fillId="2" borderId="4" xfId="0" applyNumberFormat="1" applyFont="1" applyFill="1" applyBorder="1" applyAlignment="1">
      <alignment horizontal="center"/>
    </xf>
    <xf numFmtId="166" fontId="3" fillId="2" borderId="5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4" xfId="0" applyFont="1" applyFill="1" applyBorder="1"/>
    <xf numFmtId="166" fontId="3" fillId="2" borderId="4" xfId="0" applyNumberFormat="1" applyFont="1" applyFill="1" applyBorder="1"/>
    <xf numFmtId="166" fontId="3" fillId="2" borderId="5" xfId="0" applyNumberFormat="1" applyFont="1" applyFill="1" applyBorder="1"/>
    <xf numFmtId="166" fontId="3" fillId="0" borderId="0" xfId="0" applyNumberFormat="1" applyFont="1"/>
    <xf numFmtId="0" fontId="3" fillId="0" borderId="0" xfId="0" applyFont="1"/>
    <xf numFmtId="166" fontId="3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3" fontId="3" fillId="0" borderId="5" xfId="1" applyNumberFormat="1" applyFont="1" applyBorder="1" applyAlignment="1">
      <alignment horizontal="right"/>
    </xf>
    <xf numFmtId="1" fontId="3" fillId="0" borderId="5" xfId="1" applyNumberFormat="1" applyFont="1" applyBorder="1" applyAlignment="1">
      <alignment horizontal="center"/>
    </xf>
    <xf numFmtId="164" fontId="10" fillId="5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289CB9-B910-5656-2DCF-8AACBF082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5306" y="592971"/>
          <a:ext cx="2358390" cy="397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89393B-4E16-4B05-81E8-F05BC7109B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1200151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4F5A6B-0C2F-422A-B30D-023B51E75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1200151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EB16CD-0006-41F9-9282-330EAFEF0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A762AA-CDB2-47FE-9F85-1EF66AEC90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1200151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7D3B43-2ED6-452E-84D8-33BF91B18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5AD80F-3E83-45C8-A9E1-957CD71C80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1BE596-7DB4-4C9F-804E-22698FC182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173CF4-2386-48CB-9DB0-5E164A1B9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9AD1DE-F2A0-4C0E-93A7-BBFE529650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3101BA-160E-46A5-8B00-F1223F5218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A97602-2EFC-4897-817B-A7493D337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E1E1CF-4FA1-490B-9D1C-947FF8849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4E0D4E-127D-4C9C-B2F1-26A018EDA7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4E6A63-E447-4BEC-BB60-5C22FAEAD5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BBB804-3EBC-4EC8-BA7A-01219AFC09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D2659B-AFBF-415D-9ACF-EF6DD2A27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9CC4DB-8AAA-4DE3-94B5-F709FC6A6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3012F6-6656-4669-B62A-952752462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DB74A5-A469-4188-BC6A-E0843658E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C1BC9F-E47E-4687-BA00-4D9CB0DF67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0F409-EE38-4F8B-B7F8-F05EC5A28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0DEC1-C5DD-44A5-8C89-75FB9D65FD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30E637-6647-44EF-89F9-9E13321BD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94C6A8-05EE-4453-A9BD-ED689E5C2A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F422E5-266E-4649-BDBD-0CF4F3724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D391E2-FEB7-445D-A6EE-6D277AFA2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06861-9214-45CE-AD23-75FDD5453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866D79-9A72-493F-94E2-38668F30C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8ED691-BFFE-4A4D-8670-D8696BDFC6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1230631</xdr:colOff>
      <xdr:row>2</xdr:row>
      <xdr:rowOff>116721</xdr:rowOff>
    </xdr:from>
    <xdr:to>
      <xdr:col>18</xdr:col>
      <xdr:colOff>1196341</xdr:colOff>
      <xdr:row>4</xdr:row>
      <xdr:rowOff>76199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A6A10-6ED8-483A-BB2C-9449259F3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91" b="41256"/>
        <a:stretch/>
      </xdr:blipFill>
      <xdr:spPr>
        <a:xfrm>
          <a:off x="11969116" y="592971"/>
          <a:ext cx="2362200" cy="397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2771-2192-4B39-B0D4-46953399E141}">
  <dimension ref="B1:V177"/>
  <sheetViews>
    <sheetView showGridLines="0" tabSelected="1" zoomScaleNormal="10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20" sqref="F20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122"/>
      <c r="U1" s="4"/>
      <c r="V1" s="6"/>
    </row>
    <row r="2" spans="2:22" ht="24" customHeight="1" x14ac:dyDescent="0.25">
      <c r="B2" s="151">
        <v>45658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23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122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24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4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customFormat="1" ht="13.2" customHeight="1" x14ac:dyDescent="0.3"/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s="105" customFormat="1" ht="18" customHeight="1" x14ac:dyDescent="0.3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s="54" customForma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ht="13.2" customHeight="1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ht="13.2" customHeight="1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ht="13.2" customHeight="1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ht="13.2" customHeight="1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ht="13.2" customHeight="1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ht="13.2" customHeight="1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ht="13.2" customHeight="1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ht="13.2" customHeight="1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33E52771-2192-4B39-B0D4-46953399E141}">
    <sortState xmlns:xlrd2="http://schemas.microsoft.com/office/spreadsheetml/2017/richdata2" ref="B8:V142">
      <sortCondition ref="N7"/>
    </sortState>
  </autoFilter>
  <mergeCells count="6">
    <mergeCell ref="T6:U6"/>
    <mergeCell ref="B2:M2"/>
    <mergeCell ref="B6:M6"/>
    <mergeCell ref="B4:Q4"/>
    <mergeCell ref="B151:M151"/>
    <mergeCell ref="T151:U1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753D-647D-4241-A235-C44403DAC283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'01'!B2:M2+1</f>
        <v>45659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130"/>
      <c r="C8" s="130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2" t="str">
        <f>'01'!N8</f>
        <v>AGÜERO</v>
      </c>
      <c r="O8" s="132" t="str">
        <f>'01'!O8</f>
        <v>MARTA</v>
      </c>
      <c r="P8" s="149">
        <f>'01'!P8</f>
        <v>7009791</v>
      </c>
      <c r="Q8" s="150">
        <f>'01'!Q8</f>
        <v>5</v>
      </c>
      <c r="R8" s="132" t="str">
        <f>'01'!R8</f>
        <v>JUNIOR ASESOR</v>
      </c>
      <c r="S8" s="132" t="str">
        <f>'01'!S8</f>
        <v>PRIVADA</v>
      </c>
      <c r="T8" s="133"/>
      <c r="U8" s="133"/>
      <c r="V8" s="134"/>
    </row>
    <row r="9" spans="2:22" ht="13.2" customHeight="1" x14ac:dyDescent="0.25">
      <c r="B9" s="130"/>
      <c r="C9" s="135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2" t="str">
        <f>'01'!N9</f>
        <v>AGUILA SANCHEZ</v>
      </c>
      <c r="O9" s="132" t="str">
        <f>'01'!O9</f>
        <v>JUAN LUIS</v>
      </c>
      <c r="P9" s="149">
        <f>'01'!P9</f>
        <v>13739164</v>
      </c>
      <c r="Q9" s="150">
        <f>'01'!Q9</f>
        <v>3</v>
      </c>
      <c r="R9" s="132" t="str">
        <f>'01'!R9</f>
        <v>CONTROL DE LOGISTICA</v>
      </c>
      <c r="S9" s="132" t="str">
        <f>'01'!S9</f>
        <v>TRESOL</v>
      </c>
      <c r="T9" s="30"/>
      <c r="U9" s="30"/>
      <c r="V9" s="137"/>
    </row>
    <row r="10" spans="2:22" ht="13.2" customHeight="1" x14ac:dyDescent="0.25">
      <c r="B10" s="135"/>
      <c r="C10" s="130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2" t="str">
        <f>'01'!N10</f>
        <v>AGUILAR HERNANDEZ</v>
      </c>
      <c r="O10" s="132" t="str">
        <f>'01'!O10</f>
        <v>FRANCISCO</v>
      </c>
      <c r="P10" s="149">
        <f>'01'!P10</f>
        <v>15734629</v>
      </c>
      <c r="Q10" s="150">
        <f>'01'!Q10</f>
        <v>6</v>
      </c>
      <c r="R10" s="132" t="str">
        <f>'01'!R10</f>
        <v>ASISTENTE RRHH</v>
      </c>
      <c r="S10" s="132" t="str">
        <f>'01'!S10</f>
        <v>TRESOL</v>
      </c>
      <c r="T10" s="138"/>
      <c r="U10" s="133"/>
      <c r="V10" s="134"/>
    </row>
    <row r="11" spans="2:22" ht="13.2" customHeight="1" x14ac:dyDescent="0.25">
      <c r="B11" s="135"/>
      <c r="C11" s="135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2" t="str">
        <f>'01'!N11</f>
        <v>ALCAINO CARDENAS</v>
      </c>
      <c r="O11" s="132" t="str">
        <f>'01'!O11</f>
        <v>CLAUDIO ALEJANDRO</v>
      </c>
      <c r="P11" s="149">
        <f>'01'!P11</f>
        <v>15847284</v>
      </c>
      <c r="Q11" s="150">
        <f>'01'!Q11</f>
        <v>8</v>
      </c>
      <c r="R11" s="132" t="str">
        <f>'01'!R11</f>
        <v>ASISTENTE DE LOGISTICA</v>
      </c>
      <c r="S11" s="132" t="str">
        <f>'01'!S11</f>
        <v>TRESOL</v>
      </c>
      <c r="T11" s="30"/>
      <c r="U11" s="30"/>
      <c r="V11" s="137"/>
    </row>
    <row r="12" spans="2:22" ht="13.2" customHeight="1" x14ac:dyDescent="0.25">
      <c r="B12" s="135"/>
      <c r="C12" s="135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2" t="str">
        <f>'01'!N12</f>
        <v>ALMONACID SOTO</v>
      </c>
      <c r="O12" s="132" t="str">
        <f>'01'!O12</f>
        <v>JORGE PATRICIO</v>
      </c>
      <c r="P12" s="149">
        <f>'01'!P12</f>
        <v>15285593</v>
      </c>
      <c r="Q12" s="150">
        <f>'01'!Q12</f>
        <v>1</v>
      </c>
      <c r="R12" s="132" t="str">
        <f>'01'!R12</f>
        <v>SOLDADOR</v>
      </c>
      <c r="S12" s="132" t="str">
        <f>'01'!S12</f>
        <v>TRESOL</v>
      </c>
      <c r="T12" s="30"/>
      <c r="U12" s="30"/>
      <c r="V12" s="137"/>
    </row>
    <row r="13" spans="2:22" ht="13.2" customHeight="1" x14ac:dyDescent="0.25">
      <c r="B13" s="135"/>
      <c r="C13" s="135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2" t="str">
        <f>'01'!N13</f>
        <v>ALVARADO ALVARADO</v>
      </c>
      <c r="O13" s="132" t="str">
        <f>'01'!O13</f>
        <v>BERNARDO MARCELO</v>
      </c>
      <c r="P13" s="149">
        <f>'01'!P13</f>
        <v>10106820</v>
      </c>
      <c r="Q13" s="150" t="str">
        <f>'01'!Q13</f>
        <v>K</v>
      </c>
      <c r="R13" s="132" t="str">
        <f>'01'!R13</f>
        <v>CHOFER</v>
      </c>
      <c r="S13" s="132" t="str">
        <f>'01'!S13</f>
        <v>ARIDOS</v>
      </c>
      <c r="T13" s="29"/>
      <c r="U13" s="29"/>
      <c r="V13" s="137"/>
    </row>
    <row r="14" spans="2:22" ht="13.2" customHeight="1" x14ac:dyDescent="0.25">
      <c r="B14" s="135"/>
      <c r="C14" s="135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2" t="str">
        <f>'01'!N14</f>
        <v>ALVARADO MELLA</v>
      </c>
      <c r="O14" s="132" t="str">
        <f>'01'!O14</f>
        <v>LUIS ADOLFO</v>
      </c>
      <c r="P14" s="149">
        <f>'01'!P14</f>
        <v>20900423</v>
      </c>
      <c r="Q14" s="150">
        <f>'01'!Q14</f>
        <v>2</v>
      </c>
      <c r="R14" s="132" t="str">
        <f>'01'!R14</f>
        <v>AYUDANTE MECANICO</v>
      </c>
      <c r="S14" s="132" t="str">
        <f>'01'!S14</f>
        <v>TRESOL</v>
      </c>
      <c r="T14" s="29"/>
      <c r="U14" s="30"/>
      <c r="V14" s="137"/>
    </row>
    <row r="15" spans="2:22" ht="13.2" customHeight="1" x14ac:dyDescent="0.25">
      <c r="B15" s="135"/>
      <c r="C15" s="135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2" t="str">
        <f>'01'!N15</f>
        <v>ALVARADO TORRES</v>
      </c>
      <c r="O15" s="132" t="str">
        <f>'01'!O15</f>
        <v>JORGE ANDRÉS</v>
      </c>
      <c r="P15" s="149">
        <f>'01'!P15</f>
        <v>10772508</v>
      </c>
      <c r="Q15" s="150">
        <f>'01'!Q15</f>
        <v>3</v>
      </c>
      <c r="R15" s="132" t="str">
        <f>'01'!R15</f>
        <v>ENCARGADO DE ADQUISICIONES</v>
      </c>
      <c r="S15" s="132" t="str">
        <f>'01'!S15</f>
        <v>TRESOL</v>
      </c>
      <c r="T15" s="29"/>
      <c r="U15" s="30"/>
      <c r="V15" s="137"/>
    </row>
    <row r="16" spans="2:22" ht="13.2" customHeight="1" x14ac:dyDescent="0.25">
      <c r="B16" s="135"/>
      <c r="C16" s="135"/>
      <c r="D16" s="136"/>
      <c r="E16" s="130"/>
      <c r="F16" s="136"/>
      <c r="G16" s="136"/>
      <c r="H16" s="136"/>
      <c r="I16" s="136"/>
      <c r="J16" s="136"/>
      <c r="K16" s="136"/>
      <c r="L16" s="136"/>
      <c r="M16" s="136"/>
      <c r="N16" s="132" t="str">
        <f>'01'!N16</f>
        <v>AMPUERO MUÑOZ</v>
      </c>
      <c r="O16" s="132" t="str">
        <f>'01'!O16</f>
        <v xml:space="preserve"> RAMON</v>
      </c>
      <c r="P16" s="149">
        <f>'01'!P16</f>
        <v>13967856</v>
      </c>
      <c r="Q16" s="150">
        <f>'01'!Q16</f>
        <v>7</v>
      </c>
      <c r="R16" s="132" t="str">
        <f>'01'!R16</f>
        <v>GERENTE COMERCIAL-OPERACIONES</v>
      </c>
      <c r="S16" s="132" t="str">
        <f>'01'!S16</f>
        <v>TRESOL</v>
      </c>
      <c r="T16" s="30"/>
      <c r="U16" s="30"/>
      <c r="V16" s="137"/>
    </row>
    <row r="17" spans="2:22" ht="13.2" customHeight="1" x14ac:dyDescent="0.25">
      <c r="B17" s="135"/>
      <c r="C17" s="135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2" t="str">
        <f>'01'!N17</f>
        <v>ANTIÑANCO PACHECO</v>
      </c>
      <c r="O17" s="132" t="str">
        <f>'01'!O17</f>
        <v>DANIEL FERNANDO</v>
      </c>
      <c r="P17" s="149">
        <f>'01'!P17</f>
        <v>15301665</v>
      </c>
      <c r="Q17" s="150">
        <f>'01'!Q17</f>
        <v>8</v>
      </c>
      <c r="R17" s="132" t="str">
        <f>'01'!R17</f>
        <v>CONDUCTOR</v>
      </c>
      <c r="S17" s="132" t="str">
        <f>'01'!S17</f>
        <v>TRESOL</v>
      </c>
      <c r="T17" s="29"/>
      <c r="U17" s="29"/>
      <c r="V17" s="137"/>
    </row>
    <row r="18" spans="2:22" ht="13.2" customHeight="1" x14ac:dyDescent="0.25">
      <c r="B18" s="135"/>
      <c r="C18" s="135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2" t="str">
        <f>'01'!N18</f>
        <v>ANTRIS ULLOA</v>
      </c>
      <c r="O18" s="132" t="str">
        <f>'01'!O18</f>
        <v>JOSE BENEDICTO</v>
      </c>
      <c r="P18" s="149">
        <f>'01'!P18</f>
        <v>12714471</v>
      </c>
      <c r="Q18" s="150">
        <f>'01'!Q18</f>
        <v>0</v>
      </c>
      <c r="R18" s="132" t="str">
        <f>'01'!R18</f>
        <v>SOLDADOR</v>
      </c>
      <c r="S18" s="132" t="str">
        <f>'01'!S18</f>
        <v>TRESOL</v>
      </c>
      <c r="T18" s="30"/>
      <c r="U18" s="30"/>
      <c r="V18" s="137"/>
    </row>
    <row r="19" spans="2:22" ht="13.2" customHeight="1" x14ac:dyDescent="0.25">
      <c r="B19" s="135"/>
      <c r="C19" s="135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2" t="str">
        <f>'01'!N19</f>
        <v>ASENCIO CÁRCAMO</v>
      </c>
      <c r="O19" s="132" t="str">
        <f>'01'!O19</f>
        <v>CLAUDIA BELÉN</v>
      </c>
      <c r="P19" s="149">
        <f>'01'!P19</f>
        <v>19367869</v>
      </c>
      <c r="Q19" s="150">
        <f>'01'!Q19</f>
        <v>6</v>
      </c>
      <c r="R19" s="132" t="str">
        <f>'01'!R19</f>
        <v>ASISTENTE CONTABLE DE FINANZAS</v>
      </c>
      <c r="S19" s="132" t="str">
        <f>'01'!S19</f>
        <v>TRESOL</v>
      </c>
      <c r="T19" s="29"/>
      <c r="U19" s="30"/>
      <c r="V19" s="137"/>
    </row>
    <row r="20" spans="2:22" ht="13.2" customHeight="1" x14ac:dyDescent="0.25">
      <c r="B20" s="135"/>
      <c r="C20" s="135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2" t="str">
        <f>'01'!N20</f>
        <v>AVILA CHACON</v>
      </c>
      <c r="O20" s="132" t="str">
        <f>'01'!O20</f>
        <v>JULIO ANDRES</v>
      </c>
      <c r="P20" s="149">
        <f>'01'!P20</f>
        <v>10587634</v>
      </c>
      <c r="Q20" s="150">
        <f>'01'!Q20</f>
        <v>3</v>
      </c>
      <c r="R20" s="132" t="str">
        <f>'01'!R20</f>
        <v>OPERADOR MAQUINA</v>
      </c>
      <c r="S20" s="132" t="str">
        <f>'01'!S20</f>
        <v>ARIDOS</v>
      </c>
      <c r="T20" s="29"/>
      <c r="U20" s="30"/>
      <c r="V20" s="137"/>
    </row>
    <row r="21" spans="2:22" ht="13.2" customHeight="1" x14ac:dyDescent="0.25">
      <c r="B21" s="135"/>
      <c r="C21" s="135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2" t="str">
        <f>'01'!N21</f>
        <v>BARRIA</v>
      </c>
      <c r="O21" s="132" t="str">
        <f>'01'!O21</f>
        <v xml:space="preserve">PEDRO   </v>
      </c>
      <c r="P21" s="149">
        <f>'01'!P21</f>
        <v>20293903</v>
      </c>
      <c r="Q21" s="150">
        <f>'01'!Q21</f>
        <v>1</v>
      </c>
      <c r="R21" s="132" t="str">
        <f>'01'!R21</f>
        <v>OPERARIO CONDUCTOR</v>
      </c>
      <c r="S21" s="132" t="str">
        <f>'01'!S21</f>
        <v>TRESOL</v>
      </c>
      <c r="T21" s="29"/>
      <c r="U21" s="30"/>
      <c r="V21" s="137"/>
    </row>
    <row r="22" spans="2:22" ht="13.2" customHeight="1" x14ac:dyDescent="0.25">
      <c r="B22" s="135"/>
      <c r="C22" s="135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2" t="str">
        <f>'01'!N22</f>
        <v>BARRIENTOS TORRES</v>
      </c>
      <c r="O22" s="132" t="str">
        <f>'01'!O22</f>
        <v>KENIA ALEJANDRA</v>
      </c>
      <c r="P22" s="149">
        <f>'01'!P22</f>
        <v>17889059</v>
      </c>
      <c r="Q22" s="150" t="str">
        <f>'01'!Q22</f>
        <v>K</v>
      </c>
      <c r="R22" s="132" t="str">
        <f>'01'!R22</f>
        <v>ENCARGADA DE CASINO</v>
      </c>
      <c r="S22" s="132" t="str">
        <f>'01'!S22</f>
        <v>TRESOL</v>
      </c>
      <c r="T22" s="30"/>
      <c r="U22" s="30"/>
      <c r="V22" s="137"/>
    </row>
    <row r="23" spans="2:22" ht="13.2" customHeight="1" x14ac:dyDescent="0.25">
      <c r="B23" s="135"/>
      <c r="C23" s="135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2" t="str">
        <f>'01'!N23</f>
        <v>BOHLE RODRIGUEZ</v>
      </c>
      <c r="O23" s="132" t="str">
        <f>'01'!O23</f>
        <v>BARBARA ALEJANDRA</v>
      </c>
      <c r="P23" s="149">
        <f>'01'!P23</f>
        <v>18802330</v>
      </c>
      <c r="Q23" s="150">
        <f>'01'!Q23</f>
        <v>4</v>
      </c>
      <c r="R23" s="132" t="str">
        <f>'01'!R23</f>
        <v>ADMINISTRATIVO</v>
      </c>
      <c r="S23" s="132" t="str">
        <f>'01'!S23</f>
        <v>ERSAN</v>
      </c>
      <c r="T23" s="30"/>
      <c r="U23" s="30"/>
      <c r="V23" s="137"/>
    </row>
    <row r="24" spans="2:22" ht="13.2" customHeight="1" x14ac:dyDescent="0.25">
      <c r="B24" s="135"/>
      <c r="C24" s="135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2" t="str">
        <f>'01'!N24</f>
        <v>BORDEN MUÑOZ</v>
      </c>
      <c r="O24" s="132" t="str">
        <f>'01'!O24</f>
        <v>JORGE AMERICO</v>
      </c>
      <c r="P24" s="149">
        <f>'01'!P24</f>
        <v>13659758</v>
      </c>
      <c r="Q24" s="150">
        <f>'01'!Q24</f>
        <v>2</v>
      </c>
      <c r="R24" s="132" t="str">
        <f>'01'!R24</f>
        <v>CONDUCTOR</v>
      </c>
      <c r="S24" s="132" t="str">
        <f>'01'!S24</f>
        <v>TRESOL</v>
      </c>
      <c r="T24" s="31"/>
      <c r="U24" s="32"/>
      <c r="V24" s="137"/>
    </row>
    <row r="25" spans="2:22" ht="13.2" customHeight="1" x14ac:dyDescent="0.25">
      <c r="B25" s="135"/>
      <c r="C25" s="135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2" t="str">
        <f>'01'!N25</f>
        <v>BUSTAMANTE VILLARROEL</v>
      </c>
      <c r="O25" s="132" t="str">
        <f>'01'!O25</f>
        <v>JORGE EDUARDO</v>
      </c>
      <c r="P25" s="149">
        <f>'01'!P25</f>
        <v>9539333</v>
      </c>
      <c r="Q25" s="150">
        <f>'01'!Q25</f>
        <v>0</v>
      </c>
      <c r="R25" s="132" t="str">
        <f>'01'!R25</f>
        <v>AYUDANTE MECANICO</v>
      </c>
      <c r="S25" s="132" t="str">
        <f>'01'!S25</f>
        <v>TRESOL</v>
      </c>
      <c r="T25" s="139"/>
      <c r="U25" s="30"/>
      <c r="V25" s="137"/>
    </row>
    <row r="26" spans="2:22" ht="13.2" customHeight="1" x14ac:dyDescent="0.25">
      <c r="B26" s="135"/>
      <c r="C26" s="135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2" t="str">
        <f>'01'!N26</f>
        <v>CÁCERES AROCA</v>
      </c>
      <c r="O26" s="132" t="str">
        <f>'01'!O26</f>
        <v>ROCÍO PAULINA</v>
      </c>
      <c r="P26" s="149">
        <f>'01'!P26</f>
        <v>20773510</v>
      </c>
      <c r="Q26" s="150">
        <f>'01'!Q26</f>
        <v>8</v>
      </c>
      <c r="R26" s="132" t="str">
        <f>'01'!R26</f>
        <v>ASISTENTE DE LOGISTICA</v>
      </c>
      <c r="S26" s="132" t="str">
        <f>'01'!S26</f>
        <v>TRESOL</v>
      </c>
      <c r="T26" s="138"/>
      <c r="U26" s="30"/>
      <c r="V26" s="137"/>
    </row>
    <row r="27" spans="2:22" ht="13.2" customHeight="1" x14ac:dyDescent="0.25">
      <c r="B27" s="135"/>
      <c r="C27" s="135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 t="str">
        <f>'01'!N27</f>
        <v>CARCAMO CAUCAU</v>
      </c>
      <c r="O27" s="132" t="str">
        <f>'01'!O27</f>
        <v>ROBERTO CARLOS</v>
      </c>
      <c r="P27" s="149">
        <f>'01'!P27</f>
        <v>13407096</v>
      </c>
      <c r="Q27" s="150" t="str">
        <f>'01'!Q27</f>
        <v>K</v>
      </c>
      <c r="R27" s="132" t="str">
        <f>'01'!R27</f>
        <v>CONDUCTOR</v>
      </c>
      <c r="S27" s="132" t="str">
        <f>'01'!S27</f>
        <v>TRESOL</v>
      </c>
      <c r="T27" s="29"/>
      <c r="U27" s="30"/>
      <c r="V27" s="137"/>
    </row>
    <row r="28" spans="2:22" ht="13.2" customHeight="1" x14ac:dyDescent="0.25">
      <c r="B28" s="135"/>
      <c r="C28" s="135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2" t="str">
        <f>'01'!N28</f>
        <v>CARCAMO HUAIQUIN</v>
      </c>
      <c r="O28" s="132" t="str">
        <f>'01'!O28</f>
        <v>JAVIERA FRANCISCA</v>
      </c>
      <c r="P28" s="149">
        <f>'01'!P28</f>
        <v>19962921</v>
      </c>
      <c r="Q28" s="150">
        <f>'01'!Q28</f>
        <v>2</v>
      </c>
      <c r="R28" s="132" t="str">
        <f>'01'!R28</f>
        <v>ADMINISTRATIVO</v>
      </c>
      <c r="S28" s="132" t="str">
        <f>'01'!S28</f>
        <v>TRESOL</v>
      </c>
      <c r="T28" s="139"/>
      <c r="U28" s="29"/>
      <c r="V28" s="140"/>
    </row>
    <row r="29" spans="2:22" ht="13.2" customHeight="1" x14ac:dyDescent="0.25">
      <c r="B29" s="135"/>
      <c r="C29" s="135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2" t="str">
        <f>'01'!N29</f>
        <v>CARCAMO HUAIQUIN</v>
      </c>
      <c r="O29" s="132" t="str">
        <f>'01'!O29</f>
        <v>NICOLAS IGNACIO</v>
      </c>
      <c r="P29" s="149">
        <f>'01'!P29</f>
        <v>18801412</v>
      </c>
      <c r="Q29" s="150">
        <f>'01'!Q29</f>
        <v>7</v>
      </c>
      <c r="R29" s="132" t="str">
        <f>'01'!R29</f>
        <v>ADMINISTRATIVO</v>
      </c>
      <c r="S29" s="132" t="str">
        <f>'01'!S29</f>
        <v>TRESOL</v>
      </c>
      <c r="T29" s="30"/>
      <c r="U29" s="30"/>
      <c r="V29" s="137"/>
    </row>
    <row r="30" spans="2:22" ht="13.2" customHeight="1" x14ac:dyDescent="0.25">
      <c r="B30" s="135"/>
      <c r="C30" s="135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2" t="str">
        <f>'01'!N30</f>
        <v>CARCAMO OYARZUN</v>
      </c>
      <c r="O30" s="132" t="str">
        <f>'01'!O30</f>
        <v>NICOLAS</v>
      </c>
      <c r="P30" s="149">
        <f>'01'!P30</f>
        <v>9929269</v>
      </c>
      <c r="Q30" s="150">
        <f>'01'!Q30</f>
        <v>5</v>
      </c>
      <c r="R30" s="132" t="str">
        <f>'01'!R30</f>
        <v>GERENTE GENERAL</v>
      </c>
      <c r="S30" s="132" t="str">
        <f>'01'!S30</f>
        <v>TRESOL</v>
      </c>
      <c r="T30" s="30"/>
      <c r="U30" s="30"/>
      <c r="V30" s="137"/>
    </row>
    <row r="31" spans="2:22" ht="13.2" customHeight="1" x14ac:dyDescent="0.25">
      <c r="B31" s="135"/>
      <c r="C31" s="135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2" t="str">
        <f>'01'!N31</f>
        <v>CARDENAS ARTEAGA</v>
      </c>
      <c r="O31" s="132" t="str">
        <f>'01'!O31</f>
        <v>EGON JUAN</v>
      </c>
      <c r="P31" s="149">
        <f>'01'!P31</f>
        <v>13404337</v>
      </c>
      <c r="Q31" s="150">
        <f>'01'!Q31</f>
        <v>7</v>
      </c>
      <c r="R31" s="132" t="str">
        <f>'01'!R31</f>
        <v>CONDUCTOR</v>
      </c>
      <c r="S31" s="132" t="str">
        <f>'01'!S31</f>
        <v>TRESOL</v>
      </c>
      <c r="T31" s="139"/>
      <c r="U31" s="29"/>
      <c r="V31" s="137"/>
    </row>
    <row r="32" spans="2:22" ht="13.2" customHeight="1" x14ac:dyDescent="0.25">
      <c r="B32" s="135"/>
      <c r="C32" s="135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2" t="str">
        <f>'01'!N32</f>
        <v>CARDENAS ARTEAGA</v>
      </c>
      <c r="O32" s="132" t="str">
        <f>'01'!O32</f>
        <v>HECTOR ELIECER</v>
      </c>
      <c r="P32" s="149">
        <f>'01'!P32</f>
        <v>12340833</v>
      </c>
      <c r="Q32" s="150">
        <f>'01'!Q32</f>
        <v>0</v>
      </c>
      <c r="R32" s="132" t="str">
        <f>'01'!R32</f>
        <v>OPERARIO</v>
      </c>
      <c r="S32" s="132" t="str">
        <f>'01'!S32</f>
        <v>TRESOL</v>
      </c>
      <c r="T32" s="30"/>
      <c r="U32" s="30"/>
      <c r="V32" s="137"/>
    </row>
    <row r="33" spans="2:22" ht="13.2" customHeight="1" x14ac:dyDescent="0.25">
      <c r="B33" s="135"/>
      <c r="C33" s="135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2" t="str">
        <f>'01'!N33</f>
        <v>CARDENAS ROSAS</v>
      </c>
      <c r="O33" s="132" t="str">
        <f>'01'!O33</f>
        <v>ARMIN ANDESON</v>
      </c>
      <c r="P33" s="149">
        <f>'01'!P33</f>
        <v>19269719</v>
      </c>
      <c r="Q33" s="150">
        <f>'01'!Q33</f>
        <v>0</v>
      </c>
      <c r="R33" s="132" t="str">
        <f>'01'!R33</f>
        <v>OPERARIO</v>
      </c>
      <c r="S33" s="132" t="str">
        <f>'01'!S33</f>
        <v>TRESOL</v>
      </c>
      <c r="T33" s="30"/>
      <c r="U33" s="30"/>
      <c r="V33" s="137"/>
    </row>
    <row r="34" spans="2:22" ht="13.2" customHeight="1" x14ac:dyDescent="0.25">
      <c r="B34" s="135"/>
      <c r="C34" s="135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2" t="str">
        <f>'01'!N34</f>
        <v>CARRASCO VERGARA</v>
      </c>
      <c r="O34" s="132" t="str">
        <f>'01'!O34</f>
        <v>CARLOS ANYELO</v>
      </c>
      <c r="P34" s="149">
        <f>'01'!P34</f>
        <v>15263602</v>
      </c>
      <c r="Q34" s="150">
        <f>'01'!Q34</f>
        <v>4</v>
      </c>
      <c r="R34" s="132" t="str">
        <f>'01'!R34</f>
        <v>OPERARIO</v>
      </c>
      <c r="S34" s="132" t="str">
        <f>'01'!S34</f>
        <v>TRESOL</v>
      </c>
      <c r="T34" s="30"/>
      <c r="U34" s="30"/>
      <c r="V34" s="137"/>
    </row>
    <row r="35" spans="2:22" ht="13.2" customHeight="1" x14ac:dyDescent="0.25">
      <c r="B35" s="135"/>
      <c r="C35" s="135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2" t="str">
        <f>'01'!N35</f>
        <v>CARRASCO VERGARA</v>
      </c>
      <c r="O35" s="132" t="str">
        <f>'01'!O35</f>
        <v>CRISTIAN ISAIAS</v>
      </c>
      <c r="P35" s="149">
        <f>'01'!P35</f>
        <v>13159173</v>
      </c>
      <c r="Q35" s="150" t="str">
        <f>'01'!Q35</f>
        <v>K</v>
      </c>
      <c r="R35" s="132" t="str">
        <f>'01'!R35</f>
        <v>CONDUCTOR</v>
      </c>
      <c r="S35" s="132" t="str">
        <f>'01'!S35</f>
        <v>TRESOL</v>
      </c>
      <c r="T35" s="30"/>
      <c r="U35" s="30"/>
      <c r="V35" s="137"/>
    </row>
    <row r="36" spans="2:22" ht="13.2" customHeight="1" x14ac:dyDescent="0.25">
      <c r="B36" s="135"/>
      <c r="C36" s="135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2" t="str">
        <f>'01'!N36</f>
        <v>CARVAJAL SOTO</v>
      </c>
      <c r="O36" s="132" t="str">
        <f>'01'!O36</f>
        <v>FERNANDO MARCELO</v>
      </c>
      <c r="P36" s="149">
        <f>'01'!P36</f>
        <v>20625206</v>
      </c>
      <c r="Q36" s="150">
        <f>'01'!Q36</f>
        <v>5</v>
      </c>
      <c r="R36" s="132" t="str">
        <f>'01'!R36</f>
        <v>OPERARIO DE SEGREGACIÓN</v>
      </c>
      <c r="S36" s="132" t="str">
        <f>'01'!S36</f>
        <v>TRESOL</v>
      </c>
      <c r="T36" s="30"/>
      <c r="U36" s="30"/>
      <c r="V36" s="137"/>
    </row>
    <row r="37" spans="2:22" ht="13.2" customHeight="1" x14ac:dyDescent="0.25">
      <c r="B37" s="135"/>
      <c r="C37" s="135"/>
      <c r="D37" s="136"/>
      <c r="E37" s="136"/>
      <c r="F37" s="135"/>
      <c r="G37" s="136"/>
      <c r="H37" s="136"/>
      <c r="I37" s="136"/>
      <c r="J37" s="136"/>
      <c r="K37" s="136"/>
      <c r="L37" s="136"/>
      <c r="M37" s="136"/>
      <c r="N37" s="132" t="str">
        <f>'01'!N37</f>
        <v>CASTRO APABLAZA</v>
      </c>
      <c r="O37" s="132" t="str">
        <f>'01'!O37</f>
        <v>JAIME PATRICIO</v>
      </c>
      <c r="P37" s="149">
        <f>'01'!P37</f>
        <v>9871599</v>
      </c>
      <c r="Q37" s="150">
        <f>'01'!Q37</f>
        <v>1</v>
      </c>
      <c r="R37" s="132" t="str">
        <f>'01'!R37</f>
        <v>JEFE TALLER</v>
      </c>
      <c r="S37" s="132" t="str">
        <f>'01'!S37</f>
        <v>TRESOL</v>
      </c>
      <c r="T37" s="30"/>
      <c r="U37" s="30"/>
      <c r="V37" s="137"/>
    </row>
    <row r="38" spans="2:22" ht="13.2" customHeight="1" x14ac:dyDescent="0.25">
      <c r="B38" s="135"/>
      <c r="C38" s="135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2" t="str">
        <f>'01'!N38</f>
        <v>CASTRO ROJAS</v>
      </c>
      <c r="O38" s="132" t="str">
        <f>'01'!O38</f>
        <v>ENRIQUE HERNAN</v>
      </c>
      <c r="P38" s="149">
        <f>'01'!P38</f>
        <v>12215854</v>
      </c>
      <c r="Q38" s="150">
        <f>'01'!Q38</f>
        <v>3</v>
      </c>
      <c r="R38" s="132" t="str">
        <f>'01'!R38</f>
        <v>CONDUCTOR</v>
      </c>
      <c r="S38" s="132" t="str">
        <f>'01'!S38</f>
        <v>TRESOL</v>
      </c>
      <c r="T38" s="30"/>
      <c r="U38" s="30"/>
      <c r="V38" s="137"/>
    </row>
    <row r="39" spans="2:22" ht="13.2" customHeight="1" x14ac:dyDescent="0.25">
      <c r="B39" s="135"/>
      <c r="C39" s="135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2" t="str">
        <f>'01'!N39</f>
        <v>CEA OYARZO</v>
      </c>
      <c r="O39" s="132" t="str">
        <f>'01'!O39</f>
        <v>OSCAR DANIEL</v>
      </c>
      <c r="P39" s="149">
        <f>'01'!P39</f>
        <v>18287788</v>
      </c>
      <c r="Q39" s="150">
        <f>'01'!Q39</f>
        <v>3</v>
      </c>
      <c r="R39" s="132" t="str">
        <f>'01'!R39</f>
        <v>MECANICO</v>
      </c>
      <c r="S39" s="132" t="str">
        <f>'01'!S39</f>
        <v>TRESOL</v>
      </c>
      <c r="T39" s="30"/>
      <c r="U39" s="30"/>
      <c r="V39" s="137"/>
    </row>
    <row r="40" spans="2:22" ht="13.2" customHeight="1" x14ac:dyDescent="0.25">
      <c r="B40" s="135"/>
      <c r="C40" s="135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2" t="str">
        <f>'01'!N40</f>
        <v>COBOS RAMIREZ</v>
      </c>
      <c r="O40" s="132" t="str">
        <f>'01'!O40</f>
        <v>YSLANDIN DANNEL</v>
      </c>
      <c r="P40" s="149">
        <f>'01'!P40</f>
        <v>26572030</v>
      </c>
      <c r="Q40" s="150">
        <f>'01'!Q40</f>
        <v>7</v>
      </c>
      <c r="R40" s="132" t="str">
        <f>'01'!R40</f>
        <v>OPERARIO</v>
      </c>
      <c r="S40" s="132" t="str">
        <f>'01'!S40</f>
        <v>ERSAN</v>
      </c>
      <c r="T40" s="30"/>
      <c r="U40" s="30"/>
      <c r="V40" s="137"/>
    </row>
    <row r="41" spans="2:22" ht="13.2" customHeight="1" x14ac:dyDescent="0.25">
      <c r="B41" s="135"/>
      <c r="C41" s="135"/>
      <c r="D41" s="136"/>
      <c r="E41" s="130"/>
      <c r="F41" s="136"/>
      <c r="G41" s="136"/>
      <c r="H41" s="136"/>
      <c r="I41" s="136"/>
      <c r="J41" s="136"/>
      <c r="K41" s="136"/>
      <c r="L41" s="136"/>
      <c r="M41" s="136"/>
      <c r="N41" s="132" t="str">
        <f>'01'!N41</f>
        <v>CONTRERAS MILLACHEO</v>
      </c>
      <c r="O41" s="132" t="str">
        <f>'01'!O41</f>
        <v>EDUARDO IGNACIO</v>
      </c>
      <c r="P41" s="149">
        <f>'01'!P41</f>
        <v>18735696</v>
      </c>
      <c r="Q41" s="150">
        <f>'01'!Q41</f>
        <v>2</v>
      </c>
      <c r="R41" s="132" t="str">
        <f>'01'!R41</f>
        <v>CHOFER</v>
      </c>
      <c r="S41" s="132" t="str">
        <f>'01'!S41</f>
        <v>ERSAN</v>
      </c>
      <c r="T41" s="30"/>
      <c r="U41" s="30"/>
      <c r="V41" s="137"/>
    </row>
    <row r="42" spans="2:22" ht="13.2" customHeight="1" x14ac:dyDescent="0.25">
      <c r="B42" s="135"/>
      <c r="C42" s="135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2" t="str">
        <f>'01'!N42</f>
        <v>CORONADO BARRIA</v>
      </c>
      <c r="O42" s="132" t="str">
        <f>'01'!O42</f>
        <v>HERNAN</v>
      </c>
      <c r="P42" s="149">
        <f>'01'!P42</f>
        <v>10264143</v>
      </c>
      <c r="Q42" s="150">
        <f>'01'!Q42</f>
        <v>4</v>
      </c>
      <c r="R42" s="132" t="str">
        <f>'01'!R42</f>
        <v>JEFE DE FLOTA</v>
      </c>
      <c r="S42" s="132" t="str">
        <f>'01'!S42</f>
        <v>TRESOL</v>
      </c>
      <c r="T42" s="29"/>
      <c r="U42" s="29"/>
      <c r="V42" s="137"/>
    </row>
    <row r="43" spans="2:22" ht="13.2" customHeight="1" x14ac:dyDescent="0.25">
      <c r="B43" s="135"/>
      <c r="C43" s="135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2" t="str">
        <f>'01'!N43</f>
        <v>CORONADO CARRASCO</v>
      </c>
      <c r="O43" s="132" t="str">
        <f>'01'!O43</f>
        <v>YONATAN ESTEBAN</v>
      </c>
      <c r="P43" s="149">
        <f>'01'!P43</f>
        <v>17964277</v>
      </c>
      <c r="Q43" s="150">
        <f>'01'!Q43</f>
        <v>8</v>
      </c>
      <c r="R43" s="132" t="str">
        <f>'01'!R43</f>
        <v>OPERARIO</v>
      </c>
      <c r="S43" s="132" t="str">
        <f>'01'!S43</f>
        <v>TRESOL</v>
      </c>
      <c r="T43" s="29"/>
      <c r="U43" s="29"/>
      <c r="V43" s="137"/>
    </row>
    <row r="44" spans="2:22" ht="13.2" customHeight="1" x14ac:dyDescent="0.25">
      <c r="B44" s="135"/>
      <c r="C44" s="135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2" t="str">
        <f>'01'!N44</f>
        <v>CORTES RIVAS</v>
      </c>
      <c r="O44" s="132" t="str">
        <f>'01'!O44</f>
        <v>DIONISIO ALEXANDER</v>
      </c>
      <c r="P44" s="149">
        <f>'01'!P44</f>
        <v>15516264</v>
      </c>
      <c r="Q44" s="150">
        <f>'01'!Q44</f>
        <v>3</v>
      </c>
      <c r="R44" s="132" t="str">
        <f>'01'!R44</f>
        <v>CONDUCTOR</v>
      </c>
      <c r="S44" s="132" t="str">
        <f>'01'!S44</f>
        <v>TRESOL</v>
      </c>
      <c r="T44" s="30"/>
      <c r="U44" s="30"/>
      <c r="V44" s="137"/>
    </row>
    <row r="45" spans="2:22" ht="13.2" customHeight="1" x14ac:dyDescent="0.25">
      <c r="B45" s="135"/>
      <c r="C45" s="135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2" t="str">
        <f>'01'!N45</f>
        <v>CORTES RIVAS</v>
      </c>
      <c r="O45" s="132" t="str">
        <f>'01'!O45</f>
        <v>ROCIO YAMILLETT</v>
      </c>
      <c r="P45" s="149">
        <f>'01'!P45</f>
        <v>16975740</v>
      </c>
      <c r="Q45" s="150">
        <f>'01'!Q45</f>
        <v>2</v>
      </c>
      <c r="R45" s="132" t="str">
        <f>'01'!R45</f>
        <v>OPERARIO</v>
      </c>
      <c r="S45" s="132" t="str">
        <f>'01'!S45</f>
        <v>TRESOL</v>
      </c>
      <c r="T45" s="30"/>
      <c r="U45" s="30"/>
      <c r="V45" s="137"/>
    </row>
    <row r="46" spans="2:22" ht="13.2" customHeight="1" x14ac:dyDescent="0.25">
      <c r="B46" s="135"/>
      <c r="C46" s="135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2" t="str">
        <f>'01'!N46</f>
        <v>DE LA PAZ BARRIA</v>
      </c>
      <c r="O46" s="132" t="str">
        <f>'01'!O46</f>
        <v>JAIME IVAN</v>
      </c>
      <c r="P46" s="149">
        <f>'01'!P46</f>
        <v>8481790</v>
      </c>
      <c r="Q46" s="150">
        <f>'01'!Q46</f>
        <v>2</v>
      </c>
      <c r="R46" s="132" t="str">
        <f>'01'!R46</f>
        <v>OPERARIO</v>
      </c>
      <c r="S46" s="132" t="str">
        <f>'01'!S46</f>
        <v>TRESOL</v>
      </c>
      <c r="T46" s="30"/>
      <c r="U46" s="30"/>
      <c r="V46" s="137"/>
    </row>
    <row r="47" spans="2:22" ht="13.2" customHeight="1" x14ac:dyDescent="0.25">
      <c r="B47" s="135"/>
      <c r="C47" s="135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2" t="str">
        <f>'01'!N47</f>
        <v>ENRRIQUEZ</v>
      </c>
      <c r="O47" s="132" t="str">
        <f>'01'!O47</f>
        <v>JEANETTE</v>
      </c>
      <c r="P47" s="149">
        <f>'01'!P47</f>
        <v>19247530</v>
      </c>
      <c r="Q47" s="150">
        <f>'01'!Q47</f>
        <v>9</v>
      </c>
      <c r="R47" s="132" t="str">
        <f>'01'!R47</f>
        <v xml:space="preserve">COSINERA </v>
      </c>
      <c r="S47" s="132" t="str">
        <f>'01'!S47</f>
        <v>TRESOL</v>
      </c>
      <c r="T47" s="30"/>
      <c r="U47" s="30"/>
      <c r="V47" s="137"/>
    </row>
    <row r="48" spans="2:22" ht="13.2" customHeight="1" x14ac:dyDescent="0.25">
      <c r="B48" s="135"/>
      <c r="C48" s="135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2" t="str">
        <f>'01'!N48</f>
        <v>FERREIRA GOMEZ</v>
      </c>
      <c r="O48" s="132" t="str">
        <f>'01'!O48</f>
        <v>HELMUTH HERIBERTO</v>
      </c>
      <c r="P48" s="149">
        <f>'01'!P48</f>
        <v>8801613</v>
      </c>
      <c r="Q48" s="150">
        <f>'01'!Q48</f>
        <v>0</v>
      </c>
      <c r="R48" s="132" t="str">
        <f>'01'!R48</f>
        <v>OPERARIO</v>
      </c>
      <c r="S48" s="132" t="str">
        <f>'01'!S48</f>
        <v>TRESOL</v>
      </c>
      <c r="T48" s="30"/>
      <c r="U48" s="30"/>
      <c r="V48" s="137"/>
    </row>
    <row r="49" spans="2:22" ht="13.2" customHeight="1" x14ac:dyDescent="0.25">
      <c r="B49" s="135"/>
      <c r="C49" s="135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2" t="str">
        <f>'01'!N49</f>
        <v>GALLEGOS PEREZ</v>
      </c>
      <c r="O49" s="132" t="str">
        <f>'01'!O49</f>
        <v>HECTOR AMERICO</v>
      </c>
      <c r="P49" s="149">
        <f>'01'!P49</f>
        <v>13967493</v>
      </c>
      <c r="Q49" s="150">
        <f>'01'!Q49</f>
        <v>6</v>
      </c>
      <c r="R49" s="132" t="str">
        <f>'01'!R49</f>
        <v>OPERARIO</v>
      </c>
      <c r="S49" s="132" t="str">
        <f>'01'!S49</f>
        <v>TRESOL</v>
      </c>
      <c r="T49" s="30"/>
      <c r="U49" s="30"/>
      <c r="V49" s="137"/>
    </row>
    <row r="50" spans="2:22" ht="13.2" customHeight="1" x14ac:dyDescent="0.25">
      <c r="B50" s="135"/>
      <c r="C50" s="135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2" t="str">
        <f>'01'!N50</f>
        <v>GARCIA MUÑOZ</v>
      </c>
      <c r="O50" s="132" t="str">
        <f>'01'!O50</f>
        <v>MOISES ALEJANDRO</v>
      </c>
      <c r="P50" s="149">
        <f>'01'!P50</f>
        <v>18062604</v>
      </c>
      <c r="Q50" s="150">
        <f>'01'!Q50</f>
        <v>2</v>
      </c>
      <c r="R50" s="132" t="str">
        <f>'01'!R50</f>
        <v>SOLDADOR</v>
      </c>
      <c r="S50" s="132" t="str">
        <f>'01'!S50</f>
        <v>TRESOL</v>
      </c>
      <c r="T50" s="29"/>
      <c r="U50" s="30"/>
      <c r="V50" s="137"/>
    </row>
    <row r="51" spans="2:22" ht="13.2" customHeight="1" x14ac:dyDescent="0.25">
      <c r="B51" s="135"/>
      <c r="C51" s="135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2" t="str">
        <f>'01'!N51</f>
        <v>GARCIA VIDAL</v>
      </c>
      <c r="O51" s="132" t="str">
        <f>'01'!O51</f>
        <v>JUAN RAMON</v>
      </c>
      <c r="P51" s="149">
        <f>'01'!P51</f>
        <v>13165710</v>
      </c>
      <c r="Q51" s="150">
        <f>'01'!Q51</f>
        <v>2</v>
      </c>
      <c r="R51" s="132" t="str">
        <f>'01'!R51</f>
        <v>OPERADOR MAQUINA</v>
      </c>
      <c r="S51" s="132" t="str">
        <f>'01'!S51</f>
        <v>TRESOL</v>
      </c>
      <c r="T51" s="30"/>
      <c r="U51" s="30"/>
      <c r="V51" s="137"/>
    </row>
    <row r="52" spans="2:22" ht="13.2" customHeight="1" x14ac:dyDescent="0.25">
      <c r="B52" s="135"/>
      <c r="C52" s="135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2" t="str">
        <f>'01'!N52</f>
        <v>GODOY CASTRO</v>
      </c>
      <c r="O52" s="132" t="str">
        <f>'01'!O52</f>
        <v>LUIS EDUARDO</v>
      </c>
      <c r="P52" s="149">
        <f>'01'!P52</f>
        <v>11309698</v>
      </c>
      <c r="Q52" s="150">
        <f>'01'!Q52</f>
        <v>5</v>
      </c>
      <c r="R52" s="132" t="str">
        <f>'01'!R52</f>
        <v>ADMINISTRATIVO</v>
      </c>
      <c r="S52" s="132" t="str">
        <f>'01'!S52</f>
        <v>TRESOL</v>
      </c>
      <c r="T52" s="30"/>
      <c r="U52" s="30"/>
      <c r="V52" s="137"/>
    </row>
    <row r="53" spans="2:22" ht="13.2" customHeight="1" x14ac:dyDescent="0.25">
      <c r="B53" s="135"/>
      <c r="C53" s="135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2" t="str">
        <f>'01'!N53</f>
        <v>GODOY OYARZO</v>
      </c>
      <c r="O53" s="132" t="str">
        <f>'01'!O53</f>
        <v>ISOLINA ESTER</v>
      </c>
      <c r="P53" s="149">
        <f>'01'!P53</f>
        <v>14552495</v>
      </c>
      <c r="Q53" s="150">
        <f>'01'!Q53</f>
        <v>4</v>
      </c>
      <c r="R53" s="132" t="str">
        <f>'01'!R53</f>
        <v>ENCARGADA DE ASEO</v>
      </c>
      <c r="S53" s="132" t="str">
        <f>'01'!S53</f>
        <v>TRESOL</v>
      </c>
      <c r="T53" s="30"/>
      <c r="U53" s="30"/>
      <c r="V53" s="137"/>
    </row>
    <row r="54" spans="2:22" ht="13.2" customHeight="1" x14ac:dyDescent="0.25">
      <c r="B54" s="135"/>
      <c r="C54" s="135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2" t="str">
        <f>'01'!N54</f>
        <v>GOMEZ GOMEZ</v>
      </c>
      <c r="O54" s="132" t="str">
        <f>'01'!O54</f>
        <v>LILIANA DEL CARMEN</v>
      </c>
      <c r="P54" s="149">
        <f>'01'!P54</f>
        <v>13823630</v>
      </c>
      <c r="Q54" s="150">
        <f>'01'!Q54</f>
        <v>7</v>
      </c>
      <c r="R54" s="132" t="str">
        <f>'01'!R54</f>
        <v>CONTROL DE LOGISTICA</v>
      </c>
      <c r="S54" s="132" t="str">
        <f>'01'!S54</f>
        <v>TRESOL</v>
      </c>
      <c r="T54" s="30"/>
      <c r="U54" s="30"/>
      <c r="V54" s="137"/>
    </row>
    <row r="55" spans="2:22" ht="13.2" customHeight="1" x14ac:dyDescent="0.25">
      <c r="B55" s="135"/>
      <c r="C55" s="135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2" t="str">
        <f>'01'!N55</f>
        <v>GOMEZ NAHUELQUIN</v>
      </c>
      <c r="O55" s="132" t="str">
        <f>'01'!O55</f>
        <v>JOSE ANTONIO</v>
      </c>
      <c r="P55" s="149">
        <f>'01'!P55</f>
        <v>16893933</v>
      </c>
      <c r="Q55" s="150">
        <f>'01'!Q55</f>
        <v>7</v>
      </c>
      <c r="R55" s="132" t="str">
        <f>'01'!R55</f>
        <v>OPERARIO</v>
      </c>
      <c r="S55" s="132" t="str">
        <f>'01'!S55</f>
        <v>TRESOL</v>
      </c>
      <c r="T55" s="30"/>
      <c r="U55" s="30"/>
      <c r="V55" s="137"/>
    </row>
    <row r="56" spans="2:22" ht="13.2" customHeight="1" x14ac:dyDescent="0.25">
      <c r="B56" s="135"/>
      <c r="C56" s="135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2" t="str">
        <f>'01'!N56</f>
        <v>GONZALEZ CARDENAS</v>
      </c>
      <c r="O56" s="132" t="str">
        <f>'01'!O56</f>
        <v>CRISTIAN ISAIAS</v>
      </c>
      <c r="P56" s="149">
        <f>'01'!P56</f>
        <v>16312338</v>
      </c>
      <c r="Q56" s="150" t="str">
        <f>'01'!Q56</f>
        <v>K</v>
      </c>
      <c r="R56" s="132" t="str">
        <f>'01'!R56</f>
        <v>CHOFER</v>
      </c>
      <c r="S56" s="132" t="str">
        <f>'01'!S56</f>
        <v>ARIDOS</v>
      </c>
      <c r="T56" s="29"/>
      <c r="U56" s="29"/>
      <c r="V56" s="137"/>
    </row>
    <row r="57" spans="2:22" ht="13.2" customHeight="1" x14ac:dyDescent="0.25">
      <c r="B57" s="135"/>
      <c r="C57" s="135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2" t="str">
        <f>'01'!N57</f>
        <v>GONZALEZ PAREDES</v>
      </c>
      <c r="O57" s="132" t="str">
        <f>'01'!O57</f>
        <v>CYNTHIA KARINA</v>
      </c>
      <c r="P57" s="149">
        <f>'01'!P57</f>
        <v>16381174</v>
      </c>
      <c r="Q57" s="150" t="str">
        <f>'01'!Q57</f>
        <v>K</v>
      </c>
      <c r="R57" s="132" t="str">
        <f>'01'!R57</f>
        <v>ASISTENTE CONTABLE DE FINANZAS</v>
      </c>
      <c r="S57" s="132" t="str">
        <f>'01'!S57</f>
        <v>TRESOL</v>
      </c>
      <c r="T57" s="29"/>
      <c r="U57" s="30"/>
      <c r="V57" s="137"/>
    </row>
    <row r="58" spans="2:22" ht="13.2" customHeight="1" x14ac:dyDescent="0.25">
      <c r="B58" s="135"/>
      <c r="C58" s="135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2" t="str">
        <f>'01'!N58</f>
        <v>GUERRERO ARGEL</v>
      </c>
      <c r="O58" s="132" t="str">
        <f>'01'!O58</f>
        <v>MARIA PAZ</v>
      </c>
      <c r="P58" s="149">
        <f>'01'!P58</f>
        <v>17892079</v>
      </c>
      <c r="Q58" s="150">
        <f>'01'!Q58</f>
        <v>0</v>
      </c>
      <c r="R58" s="132" t="str">
        <f>'01'!R58</f>
        <v>SUB GERENTE FINANZAS</v>
      </c>
      <c r="S58" s="132" t="str">
        <f>'01'!S58</f>
        <v>TRESOL</v>
      </c>
      <c r="T58" s="30"/>
      <c r="U58" s="30"/>
      <c r="V58" s="137"/>
    </row>
    <row r="59" spans="2:22" ht="13.2" customHeight="1" x14ac:dyDescent="0.25">
      <c r="B59" s="135"/>
      <c r="C59" s="135"/>
      <c r="D59" s="135"/>
      <c r="E59" s="135"/>
      <c r="F59" s="136"/>
      <c r="G59" s="136"/>
      <c r="H59" s="136"/>
      <c r="I59" s="136"/>
      <c r="J59" s="136"/>
      <c r="K59" s="136"/>
      <c r="L59" s="136"/>
      <c r="M59" s="136"/>
      <c r="N59" s="132" t="str">
        <f>'01'!N59</f>
        <v>GUERRERO ARGEL</v>
      </c>
      <c r="O59" s="132" t="str">
        <f>'01'!O59</f>
        <v>BEATRIZ</v>
      </c>
      <c r="P59" s="149" t="str">
        <f>'01'!P59</f>
        <v>18:205467</v>
      </c>
      <c r="Q59" s="150">
        <f>'01'!Q59</f>
        <v>7</v>
      </c>
      <c r="R59" s="132" t="str">
        <f>'01'!R59</f>
        <v>MAESTRA DE COSINA</v>
      </c>
      <c r="S59" s="132" t="str">
        <f>'01'!S59</f>
        <v>TRESOL</v>
      </c>
      <c r="T59" s="30"/>
      <c r="U59" s="30"/>
      <c r="V59" s="137"/>
    </row>
    <row r="60" spans="2:22" ht="13.2" customHeight="1" x14ac:dyDescent="0.25">
      <c r="B60" s="135"/>
      <c r="C60" s="135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2" t="str">
        <f>'01'!N60</f>
        <v>HERNANDEZ MARTINEZ</v>
      </c>
      <c r="O60" s="132" t="str">
        <f>'01'!O60</f>
        <v>JUDITH DE LURDES</v>
      </c>
      <c r="P60" s="149">
        <f>'01'!P60</f>
        <v>10513715</v>
      </c>
      <c r="Q60" s="150" t="str">
        <f>'01'!Q60</f>
        <v>K</v>
      </c>
      <c r="R60" s="132" t="str">
        <f>'01'!R60</f>
        <v>ENCARGADA DE ASEO</v>
      </c>
      <c r="S60" s="132" t="str">
        <f>'01'!S60</f>
        <v>TRESOL</v>
      </c>
      <c r="T60" s="30"/>
      <c r="U60" s="30"/>
      <c r="V60" s="137"/>
    </row>
    <row r="61" spans="2:22" ht="13.2" customHeight="1" x14ac:dyDescent="0.25">
      <c r="B61" s="135"/>
      <c r="C61" s="135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2" t="str">
        <f>'01'!N61</f>
        <v>HERNANDEZ MARTINEZ</v>
      </c>
      <c r="O61" s="132" t="str">
        <f>'01'!O61</f>
        <v>SERGIO EMILIANO</v>
      </c>
      <c r="P61" s="149">
        <f>'01'!P61</f>
        <v>8015963</v>
      </c>
      <c r="Q61" s="150">
        <f>'01'!Q61</f>
        <v>3</v>
      </c>
      <c r="R61" s="132" t="str">
        <f>'01'!R61</f>
        <v>JORNAL</v>
      </c>
      <c r="S61" s="132" t="str">
        <f>'01'!S61</f>
        <v>TRESOL</v>
      </c>
      <c r="T61" s="30"/>
      <c r="U61" s="30"/>
      <c r="V61" s="137"/>
    </row>
    <row r="62" spans="2:22" ht="13.2" customHeight="1" x14ac:dyDescent="0.25">
      <c r="B62" s="135"/>
      <c r="C62" s="135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2" t="str">
        <f>'01'!N62</f>
        <v>HUAIQUIN MONTALVA</v>
      </c>
      <c r="O62" s="132" t="str">
        <f>'01'!O62</f>
        <v>SANDRA MAGALY</v>
      </c>
      <c r="P62" s="149">
        <f>'01'!P62</f>
        <v>10601539</v>
      </c>
      <c r="Q62" s="150">
        <f>'01'!Q62</f>
        <v>2</v>
      </c>
      <c r="R62" s="132" t="str">
        <f>'01'!R62</f>
        <v>GERENTE FINANZAS</v>
      </c>
      <c r="S62" s="132" t="str">
        <f>'01'!S62</f>
        <v>TRESOL</v>
      </c>
      <c r="T62" s="29"/>
      <c r="U62" s="30"/>
      <c r="V62" s="137"/>
    </row>
    <row r="63" spans="2:22" ht="13.2" customHeight="1" x14ac:dyDescent="0.25">
      <c r="B63" s="135"/>
      <c r="C63" s="135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2" t="str">
        <f>'01'!N63</f>
        <v>HUEICHAN CARDENAS</v>
      </c>
      <c r="O63" s="132" t="str">
        <f>'01'!O63</f>
        <v xml:space="preserve"> IGNACIO</v>
      </c>
      <c r="P63" s="149">
        <f>'01'!P63</f>
        <v>17201367</v>
      </c>
      <c r="Q63" s="150">
        <f>'01'!Q63</f>
        <v>8</v>
      </c>
      <c r="R63" s="132" t="str">
        <f>'01'!R63</f>
        <v>ENCARG. INFORMATICA</v>
      </c>
      <c r="S63" s="132" t="str">
        <f>'01'!S63</f>
        <v>TRESOL</v>
      </c>
      <c r="T63" s="29"/>
      <c r="U63" s="30"/>
      <c r="V63" s="137"/>
    </row>
    <row r="64" spans="2:22" ht="13.2" customHeight="1" x14ac:dyDescent="0.25">
      <c r="B64" s="135"/>
      <c r="C64" s="135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2" t="str">
        <f>'01'!N64</f>
        <v>IBARRA</v>
      </c>
      <c r="O64" s="132" t="str">
        <f>'01'!O64</f>
        <v>ENIO RAFAEL</v>
      </c>
      <c r="P64" s="149">
        <f>'01'!P64</f>
        <v>27366406</v>
      </c>
      <c r="Q64" s="150">
        <f>'01'!Q64</f>
        <v>8</v>
      </c>
      <c r="R64" s="132" t="str">
        <f>'01'!R64</f>
        <v>SOLDADOR</v>
      </c>
      <c r="S64" s="132" t="str">
        <f>'01'!S64</f>
        <v>TRESOL</v>
      </c>
      <c r="T64" s="30"/>
      <c r="U64" s="30"/>
      <c r="V64" s="137"/>
    </row>
    <row r="65" spans="2:22" ht="13.2" customHeight="1" x14ac:dyDescent="0.25">
      <c r="B65" s="135"/>
      <c r="C65" s="141"/>
      <c r="D65" s="136"/>
      <c r="E65" s="136"/>
      <c r="F65" s="142"/>
      <c r="G65" s="142"/>
      <c r="H65" s="142"/>
      <c r="I65" s="142"/>
      <c r="J65" s="142"/>
      <c r="K65" s="142"/>
      <c r="L65" s="142"/>
      <c r="M65" s="142"/>
      <c r="N65" s="132" t="str">
        <f>'01'!N65</f>
        <v>INAYADO</v>
      </c>
      <c r="O65" s="132" t="str">
        <f>'01'!O65</f>
        <v>BRAULIO</v>
      </c>
      <c r="P65" s="149">
        <f>'01'!P65</f>
        <v>22252835</v>
      </c>
      <c r="Q65" s="150">
        <f>'01'!Q65</f>
        <v>6</v>
      </c>
      <c r="R65" s="132" t="str">
        <f>'01'!R65</f>
        <v>MECANICO EN PRACTICA</v>
      </c>
      <c r="S65" s="132" t="str">
        <f>'01'!S65</f>
        <v>TRESOL</v>
      </c>
      <c r="T65" s="138"/>
      <c r="U65" s="133"/>
      <c r="V65" s="137"/>
    </row>
    <row r="66" spans="2:22" ht="13.2" customHeight="1" x14ac:dyDescent="0.25">
      <c r="B66" s="135"/>
      <c r="C66" s="135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2" t="str">
        <f>'01'!N66</f>
        <v>IRACI</v>
      </c>
      <c r="O66" s="132" t="str">
        <f>'01'!O66</f>
        <v>LADY</v>
      </c>
      <c r="P66" s="149">
        <f>'01'!P66</f>
        <v>26567209</v>
      </c>
      <c r="Q66" s="150">
        <f>'01'!Q66</f>
        <v>4</v>
      </c>
      <c r="R66" s="132" t="str">
        <f>'01'!R66</f>
        <v>OPERACIONES</v>
      </c>
      <c r="S66" s="132" t="str">
        <f>'01'!S66</f>
        <v>TRESOL</v>
      </c>
      <c r="T66" s="30"/>
      <c r="U66" s="30"/>
      <c r="V66" s="137"/>
    </row>
    <row r="67" spans="2:22" ht="13.2" customHeight="1" x14ac:dyDescent="0.25">
      <c r="B67" s="135"/>
      <c r="C67" s="135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2" t="str">
        <f>'01'!N67</f>
        <v>ITURRIAGA MANSILLA</v>
      </c>
      <c r="O67" s="132" t="str">
        <f>'01'!O67</f>
        <v>MARCOS ANDRES</v>
      </c>
      <c r="P67" s="149">
        <f>'01'!P67</f>
        <v>16958024</v>
      </c>
      <c r="Q67" s="150">
        <f>'01'!Q67</f>
        <v>3</v>
      </c>
      <c r="R67" s="132" t="str">
        <f>'01'!R67</f>
        <v>CONDUCTOR</v>
      </c>
      <c r="S67" s="132" t="str">
        <f>'01'!S67</f>
        <v>TRESOL</v>
      </c>
      <c r="T67" s="30"/>
      <c r="U67" s="29"/>
      <c r="V67" s="137"/>
    </row>
    <row r="68" spans="2:22" ht="13.2" customHeight="1" x14ac:dyDescent="0.25">
      <c r="B68" s="135"/>
      <c r="C68" s="135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2" t="str">
        <f>'01'!N68</f>
        <v>JARA  GALVEZ</v>
      </c>
      <c r="O68" s="132" t="str">
        <f>'01'!O68</f>
        <v>MARCELO EDUARDO</v>
      </c>
      <c r="P68" s="149">
        <f>'01'!P68</f>
        <v>8227384</v>
      </c>
      <c r="Q68" s="150">
        <f>'01'!Q68</f>
        <v>0</v>
      </c>
      <c r="R68" s="132" t="str">
        <f>'01'!R68</f>
        <v>JEFE DE OBRA</v>
      </c>
      <c r="S68" s="132" t="str">
        <f>'01'!S68</f>
        <v>TRESOL</v>
      </c>
      <c r="T68" s="30"/>
      <c r="U68" s="30"/>
      <c r="V68" s="137"/>
    </row>
    <row r="69" spans="2:22" ht="13.2" customHeight="1" x14ac:dyDescent="0.25">
      <c r="B69" s="135"/>
      <c r="C69" s="135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2" t="str">
        <f>'01'!N69</f>
        <v>JARA QUEZADA</v>
      </c>
      <c r="O69" s="132" t="str">
        <f>'01'!O69</f>
        <v>FRANCISCO JAVIER</v>
      </c>
      <c r="P69" s="149">
        <f>'01'!P69</f>
        <v>15884657</v>
      </c>
      <c r="Q69" s="150">
        <f>'01'!Q69</f>
        <v>8</v>
      </c>
      <c r="R69" s="132" t="str">
        <f>'01'!R69</f>
        <v>OPERARIO</v>
      </c>
      <c r="S69" s="132" t="str">
        <f>'01'!S69</f>
        <v>TRESOL</v>
      </c>
      <c r="T69" s="30"/>
      <c r="U69" s="30"/>
      <c r="V69" s="137"/>
    </row>
    <row r="70" spans="2:22" ht="13.2" customHeight="1" x14ac:dyDescent="0.25">
      <c r="B70" s="135"/>
      <c r="C70" s="135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2" t="str">
        <f>'01'!N70</f>
        <v>KRAUSE VASQUEZ</v>
      </c>
      <c r="O70" s="132" t="str">
        <f>'01'!O70</f>
        <v>KATHERINE ANDREA</v>
      </c>
      <c r="P70" s="149">
        <f>'01'!P70</f>
        <v>19962488</v>
      </c>
      <c r="Q70" s="150">
        <f>'01'!Q70</f>
        <v>1</v>
      </c>
      <c r="R70" s="132" t="str">
        <f>'01'!R70</f>
        <v>ADMINISTRATIVO</v>
      </c>
      <c r="S70" s="132" t="str">
        <f>'01'!S70</f>
        <v>ERSAN</v>
      </c>
      <c r="T70" s="30"/>
      <c r="U70" s="30"/>
      <c r="V70" s="137"/>
    </row>
    <row r="71" spans="2:22" ht="13.2" customHeight="1" x14ac:dyDescent="0.25">
      <c r="B71" s="135"/>
      <c r="C71" s="135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2" t="str">
        <f>'01'!N71</f>
        <v>LEIVA LEAL</v>
      </c>
      <c r="O71" s="132" t="str">
        <f>'01'!O71</f>
        <v>CLAUDIO ANDRES</v>
      </c>
      <c r="P71" s="149">
        <f>'01'!P71</f>
        <v>13319593</v>
      </c>
      <c r="Q71" s="150">
        <f>'01'!Q71</f>
        <v>9</v>
      </c>
      <c r="R71" s="132" t="str">
        <f>'01'!R71</f>
        <v>SUPERVISOR</v>
      </c>
      <c r="S71" s="132" t="str">
        <f>'01'!S71</f>
        <v>TRESOL</v>
      </c>
      <c r="T71" s="30"/>
      <c r="U71" s="30"/>
      <c r="V71" s="137"/>
    </row>
    <row r="72" spans="2:22" ht="13.2" customHeight="1" x14ac:dyDescent="0.25">
      <c r="B72" s="135"/>
      <c r="C72" s="135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2" t="str">
        <f>'01'!N72</f>
        <v>LINCOCHEO LINCOCHEO</v>
      </c>
      <c r="O72" s="132" t="str">
        <f>'01'!O72</f>
        <v>CLAUDIO FRANCISCO</v>
      </c>
      <c r="P72" s="149">
        <f>'01'!P72</f>
        <v>17777783</v>
      </c>
      <c r="Q72" s="150">
        <f>'01'!Q72</f>
        <v>8</v>
      </c>
      <c r="R72" s="132" t="str">
        <f>'01'!R72</f>
        <v>CONDUCTOR</v>
      </c>
      <c r="S72" s="132" t="str">
        <f>'01'!S72</f>
        <v>TRESOL</v>
      </c>
      <c r="T72" s="29"/>
      <c r="U72" s="30"/>
      <c r="V72" s="137"/>
    </row>
    <row r="73" spans="2:22" ht="13.2" customHeight="1" x14ac:dyDescent="0.25">
      <c r="B73" s="135"/>
      <c r="C73" s="135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2" t="str">
        <f>'01'!N73</f>
        <v>LOPEZ URZUA</v>
      </c>
      <c r="O73" s="132" t="str">
        <f>'01'!O73</f>
        <v>MANUEL IGNACIO</v>
      </c>
      <c r="P73" s="149">
        <f>'01'!P73</f>
        <v>10834618</v>
      </c>
      <c r="Q73" s="150">
        <f>'01'!Q73</f>
        <v>3</v>
      </c>
      <c r="R73" s="132" t="str">
        <f>'01'!R73</f>
        <v>CONDUCTOR</v>
      </c>
      <c r="S73" s="132" t="str">
        <f>'01'!S73</f>
        <v>TRESOL</v>
      </c>
      <c r="T73" s="30"/>
      <c r="U73" s="30"/>
      <c r="V73" s="137"/>
    </row>
    <row r="74" spans="2:22" ht="13.2" customHeight="1" x14ac:dyDescent="0.25">
      <c r="B74" s="135"/>
      <c r="C74" s="135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2" t="str">
        <f>'01'!N74</f>
        <v>MALDONADO CESPED</v>
      </c>
      <c r="O74" s="132" t="str">
        <f>'01'!O74</f>
        <v>MACARENA FRANCISCA</v>
      </c>
      <c r="P74" s="149">
        <f>'01'!P74</f>
        <v>19183686</v>
      </c>
      <c r="Q74" s="150">
        <f>'01'!Q74</f>
        <v>3</v>
      </c>
      <c r="R74" s="132" t="str">
        <f>'01'!R74</f>
        <v>SECRETARIA ADMINISTRATIVA</v>
      </c>
      <c r="S74" s="132" t="str">
        <f>'01'!S74</f>
        <v>TRESOL</v>
      </c>
      <c r="T74" s="29"/>
      <c r="U74" s="30"/>
      <c r="V74" s="137"/>
    </row>
    <row r="75" spans="2:22" ht="13.2" customHeight="1" x14ac:dyDescent="0.25">
      <c r="B75" s="135"/>
      <c r="C75" s="135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2" t="str">
        <f>'01'!N75</f>
        <v>MANCILLA SOLDAN</v>
      </c>
      <c r="O75" s="132" t="str">
        <f>'01'!O75</f>
        <v>ESTEBAN ALEJANDRO</v>
      </c>
      <c r="P75" s="149">
        <f>'01'!P75</f>
        <v>13122975</v>
      </c>
      <c r="Q75" s="150">
        <f>'01'!Q75</f>
        <v>5</v>
      </c>
      <c r="R75" s="132" t="str">
        <f>'01'!R75</f>
        <v xml:space="preserve">SUB GERENTE PREVENCION </v>
      </c>
      <c r="S75" s="132" t="str">
        <f>'01'!S75</f>
        <v>TRESOL</v>
      </c>
      <c r="T75" s="30"/>
      <c r="U75" s="30"/>
      <c r="V75" s="137"/>
    </row>
    <row r="76" spans="2:22" ht="13.2" customHeight="1" x14ac:dyDescent="0.25">
      <c r="B76" s="135"/>
      <c r="C76" s="135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2" t="str">
        <f>'01'!N76</f>
        <v>MANSILLA AGUILAR</v>
      </c>
      <c r="O76" s="132" t="str">
        <f>'01'!O76</f>
        <v>OCTAVIO PATRICIO</v>
      </c>
      <c r="P76" s="149">
        <f>'01'!P76</f>
        <v>15301036</v>
      </c>
      <c r="Q76" s="150">
        <f>'01'!Q76</f>
        <v>6</v>
      </c>
      <c r="R76" s="132" t="str">
        <f>'01'!R76</f>
        <v>OPERARIO</v>
      </c>
      <c r="S76" s="132" t="str">
        <f>'01'!S76</f>
        <v>TRESOL</v>
      </c>
      <c r="T76" s="30"/>
      <c r="U76" s="29"/>
      <c r="V76" s="137"/>
    </row>
    <row r="77" spans="2:22" ht="13.2" customHeight="1" x14ac:dyDescent="0.25">
      <c r="B77" s="135"/>
      <c r="C77" s="135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2" t="str">
        <f>'01'!N77</f>
        <v>MANSILLA ARJEL</v>
      </c>
      <c r="O77" s="132" t="str">
        <f>'01'!O77</f>
        <v>CAMILO ANDRES</v>
      </c>
      <c r="P77" s="149">
        <f>'01'!P77</f>
        <v>21192192</v>
      </c>
      <c r="Q77" s="150">
        <f>'01'!Q77</f>
        <v>7</v>
      </c>
      <c r="R77" s="132" t="str">
        <f>'01'!R77</f>
        <v>OPERARIO</v>
      </c>
      <c r="S77" s="132" t="str">
        <f>'01'!S77</f>
        <v>ERSAN</v>
      </c>
      <c r="T77" s="30"/>
      <c r="U77" s="30"/>
      <c r="V77" s="137"/>
    </row>
    <row r="78" spans="2:22" ht="13.2" customHeight="1" x14ac:dyDescent="0.25">
      <c r="B78" s="135"/>
      <c r="C78" s="135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2" t="str">
        <f>'01'!N78</f>
        <v>MANSILLA DEL RIO</v>
      </c>
      <c r="O78" s="132" t="str">
        <f>'01'!O78</f>
        <v>HERIBERTO</v>
      </c>
      <c r="P78" s="149">
        <f>'01'!P78</f>
        <v>7850191</v>
      </c>
      <c r="Q78" s="150" t="str">
        <f>'01'!Q78</f>
        <v>K</v>
      </c>
      <c r="R78" s="132" t="str">
        <f>'01'!R78</f>
        <v>OPERARIO</v>
      </c>
      <c r="S78" s="132" t="str">
        <f>'01'!S78</f>
        <v>TRESOL</v>
      </c>
      <c r="T78" s="29"/>
      <c r="U78" s="30"/>
      <c r="V78" s="137"/>
    </row>
    <row r="79" spans="2:22" ht="13.2" customHeight="1" x14ac:dyDescent="0.25">
      <c r="B79" s="135"/>
      <c r="C79" s="135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2" t="str">
        <f>'01'!N79</f>
        <v>MANSILLA VILLEGAS</v>
      </c>
      <c r="O79" s="132" t="str">
        <f>'01'!O79</f>
        <v>RONALD ANDRES</v>
      </c>
      <c r="P79" s="149">
        <f>'01'!P79</f>
        <v>18460566</v>
      </c>
      <c r="Q79" s="150" t="str">
        <f>'01'!Q79</f>
        <v>K</v>
      </c>
      <c r="R79" s="132" t="str">
        <f>'01'!R79</f>
        <v>CHOFER</v>
      </c>
      <c r="S79" s="132" t="str">
        <f>'01'!S79</f>
        <v>ARIDOS</v>
      </c>
      <c r="T79" s="30"/>
      <c r="U79" s="30"/>
      <c r="V79" s="137"/>
    </row>
    <row r="80" spans="2:22" ht="13.2" customHeight="1" x14ac:dyDescent="0.25">
      <c r="B80" s="135"/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2" t="str">
        <f>'01'!N80</f>
        <v>MARICAHUIN GONZALEZ</v>
      </c>
      <c r="O80" s="132" t="str">
        <f>'01'!O80</f>
        <v>RENE DELMIRO</v>
      </c>
      <c r="P80" s="149">
        <f>'01'!P80</f>
        <v>8631576</v>
      </c>
      <c r="Q80" s="150">
        <f>'01'!Q80</f>
        <v>9</v>
      </c>
      <c r="R80" s="132" t="str">
        <f>'01'!R80</f>
        <v>OPERARIO</v>
      </c>
      <c r="S80" s="132" t="str">
        <f>'01'!S80</f>
        <v>ARIDOS</v>
      </c>
      <c r="T80" s="30"/>
      <c r="U80" s="30"/>
      <c r="V80" s="137"/>
    </row>
    <row r="81" spans="2:22" ht="13.2" customHeight="1" x14ac:dyDescent="0.25">
      <c r="B81" s="135"/>
      <c r="C81" s="135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2" t="str">
        <f>'01'!N81</f>
        <v>MARICAHUIN GONZALEZ</v>
      </c>
      <c r="O81" s="132" t="str">
        <f>'01'!O81</f>
        <v>SERGIO</v>
      </c>
      <c r="P81" s="149">
        <f>'01'!P81</f>
        <v>6985521</v>
      </c>
      <c r="Q81" s="150">
        <f>'01'!Q81</f>
        <v>0</v>
      </c>
      <c r="R81" s="132" t="str">
        <f>'01'!R81</f>
        <v>OPERARIO</v>
      </c>
      <c r="S81" s="132" t="str">
        <f>'01'!S81</f>
        <v>ARIDOS</v>
      </c>
      <c r="T81" s="30"/>
      <c r="U81" s="30"/>
      <c r="V81" s="137"/>
    </row>
    <row r="82" spans="2:22" ht="13.2" customHeight="1" x14ac:dyDescent="0.25">
      <c r="B82" s="135"/>
      <c r="C82" s="135"/>
      <c r="D82" s="136"/>
      <c r="E82" s="143"/>
      <c r="F82" s="136"/>
      <c r="G82" s="136"/>
      <c r="H82" s="136"/>
      <c r="I82" s="136"/>
      <c r="J82" s="136"/>
      <c r="K82" s="136"/>
      <c r="L82" s="136"/>
      <c r="M82" s="136"/>
      <c r="N82" s="132" t="str">
        <f>'01'!N82</f>
        <v>MARIN PAREDES</v>
      </c>
      <c r="O82" s="132" t="str">
        <f>'01'!O82</f>
        <v>EVELYN DEL CARMEN</v>
      </c>
      <c r="P82" s="149">
        <f>'01'!P82</f>
        <v>20992329</v>
      </c>
      <c r="Q82" s="150">
        <f>'01'!Q82</f>
        <v>7</v>
      </c>
      <c r="R82" s="132" t="str">
        <f>'01'!R82</f>
        <v>ADMINISTRATIVO</v>
      </c>
      <c r="S82" s="132" t="str">
        <f>'01'!S82</f>
        <v>ARIDOS</v>
      </c>
      <c r="T82" s="30"/>
      <c r="U82" s="30"/>
      <c r="V82" s="137"/>
    </row>
    <row r="83" spans="2:22" ht="13.2" customHeight="1" x14ac:dyDescent="0.25"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2" t="str">
        <f>'01'!N83</f>
        <v>MAYORGA CARDENAS</v>
      </c>
      <c r="O83" s="132" t="str">
        <f>'01'!O83</f>
        <v>ANDRES ALEJANDRO</v>
      </c>
      <c r="P83" s="149">
        <f>'01'!P83</f>
        <v>12422931</v>
      </c>
      <c r="Q83" s="150">
        <f>'01'!Q83</f>
        <v>6</v>
      </c>
      <c r="R83" s="132" t="str">
        <f>'01'!R83</f>
        <v>ENCARGADO DE ADQUISICIONES</v>
      </c>
      <c r="S83" s="132" t="str">
        <f>'01'!S83</f>
        <v>TRESOL</v>
      </c>
      <c r="T83" s="30"/>
      <c r="U83" s="30"/>
      <c r="V83" s="137"/>
    </row>
    <row r="84" spans="2:22" ht="13.2" customHeight="1" x14ac:dyDescent="0.25">
      <c r="B84" s="135"/>
      <c r="C84" s="135"/>
      <c r="D84" s="130"/>
      <c r="E84" s="143"/>
      <c r="F84" s="130"/>
      <c r="G84" s="130"/>
      <c r="H84" s="130"/>
      <c r="I84" s="130"/>
      <c r="J84" s="130"/>
      <c r="K84" s="130"/>
      <c r="L84" s="130"/>
      <c r="M84" s="130"/>
      <c r="N84" s="132" t="str">
        <f>'01'!N84</f>
        <v>MELILLANCA MELILLANCA</v>
      </c>
      <c r="O84" s="132" t="str">
        <f>'01'!O84</f>
        <v>JOSE LUIS</v>
      </c>
      <c r="P84" s="149">
        <f>'01'!P84</f>
        <v>13826204</v>
      </c>
      <c r="Q84" s="150">
        <f>'01'!Q84</f>
        <v>9</v>
      </c>
      <c r="R84" s="132" t="str">
        <f>'01'!R84</f>
        <v>OPERARIO</v>
      </c>
      <c r="S84" s="132" t="str">
        <f>'01'!S84</f>
        <v>TRESOL</v>
      </c>
      <c r="T84" s="29"/>
      <c r="U84" s="30"/>
      <c r="V84" s="137"/>
    </row>
    <row r="85" spans="2:22" ht="13.2" customHeight="1" x14ac:dyDescent="0.25"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2" t="str">
        <f>'01'!N85</f>
        <v>MIRANDA HERNANDEZ</v>
      </c>
      <c r="O85" s="132" t="str">
        <f>'01'!O85</f>
        <v>RODOLFO ALEJANDRO</v>
      </c>
      <c r="P85" s="149">
        <f>'01'!P85</f>
        <v>13968472</v>
      </c>
      <c r="Q85" s="150">
        <f>'01'!Q85</f>
        <v>9</v>
      </c>
      <c r="R85" s="132" t="str">
        <f>'01'!R85</f>
        <v>JORNAL</v>
      </c>
      <c r="S85" s="132" t="str">
        <f>'01'!S85</f>
        <v>TRESOL</v>
      </c>
      <c r="T85" s="30"/>
      <c r="U85" s="30"/>
      <c r="V85" s="137"/>
    </row>
    <row r="86" spans="2:22" ht="13.2" customHeight="1" x14ac:dyDescent="0.25"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2" t="str">
        <f>'01'!N86</f>
        <v>MORA ARRIAGADA</v>
      </c>
      <c r="O86" s="132" t="str">
        <f>'01'!O86</f>
        <v>JUAN RENE</v>
      </c>
      <c r="P86" s="149">
        <f>'01'!P86</f>
        <v>11247826</v>
      </c>
      <c r="Q86" s="150">
        <f>'01'!Q86</f>
        <v>4</v>
      </c>
      <c r="R86" s="132" t="str">
        <f>'01'!R86</f>
        <v>OPERARIO</v>
      </c>
      <c r="S86" s="132" t="str">
        <f>'01'!S86</f>
        <v>TRESOL</v>
      </c>
      <c r="T86" s="139"/>
      <c r="U86" s="30"/>
      <c r="V86" s="144"/>
    </row>
    <row r="87" spans="2:22" ht="13.2" customHeight="1" x14ac:dyDescent="0.25">
      <c r="B87" s="135"/>
      <c r="C87" s="135"/>
      <c r="D87" s="135"/>
      <c r="E87" s="135"/>
      <c r="F87" s="145"/>
      <c r="G87" s="135"/>
      <c r="H87" s="135"/>
      <c r="I87" s="135"/>
      <c r="J87" s="135"/>
      <c r="K87" s="135"/>
      <c r="L87" s="135"/>
      <c r="M87" s="135"/>
      <c r="N87" s="132" t="str">
        <f>'01'!N87</f>
        <v>MORAGA CHAURA</v>
      </c>
      <c r="O87" s="132" t="str">
        <f>'01'!O87</f>
        <v>ADALICIO FERNANDO</v>
      </c>
      <c r="P87" s="149">
        <f>'01'!P87</f>
        <v>14292233</v>
      </c>
      <c r="Q87" s="150">
        <f>'01'!Q87</f>
        <v>9</v>
      </c>
      <c r="R87" s="132" t="str">
        <f>'01'!R87</f>
        <v>CONDUCTOR</v>
      </c>
      <c r="S87" s="132" t="str">
        <f>'01'!S87</f>
        <v>TRESOL</v>
      </c>
      <c r="T87" s="30"/>
      <c r="U87" s="30"/>
      <c r="V87" s="137"/>
    </row>
    <row r="88" spans="2:22" ht="13.2" customHeight="1" x14ac:dyDescent="0.25"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2" t="str">
        <f>'01'!N88</f>
        <v>MORAGA SILVA</v>
      </c>
      <c r="O88" s="132" t="str">
        <f>'01'!O88</f>
        <v>CLAUDIO ANDRES</v>
      </c>
      <c r="P88" s="149">
        <f>'01'!P88</f>
        <v>17047905</v>
      </c>
      <c r="Q88" s="150" t="str">
        <f>'01'!Q88</f>
        <v>K</v>
      </c>
      <c r="R88" s="132" t="str">
        <f>'01'!R88</f>
        <v>MECANICO</v>
      </c>
      <c r="S88" s="132" t="str">
        <f>'01'!S88</f>
        <v>TRESOL</v>
      </c>
      <c r="T88" s="29"/>
      <c r="U88" s="30"/>
      <c r="V88" s="137"/>
    </row>
    <row r="89" spans="2:22" ht="13.2" customHeight="1" x14ac:dyDescent="0.25"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2" t="str">
        <f>'01'!N89</f>
        <v>MUÑOS</v>
      </c>
      <c r="O89" s="132" t="str">
        <f>'01'!O89</f>
        <v>ELICEO</v>
      </c>
      <c r="P89" s="149">
        <f>'01'!P89</f>
        <v>12165586</v>
      </c>
      <c r="Q89" s="150">
        <f>'01'!Q89</f>
        <v>1</v>
      </c>
      <c r="R89" s="132" t="str">
        <f>'01'!R89</f>
        <v>MECANICO MASTER</v>
      </c>
      <c r="S89" s="132" t="str">
        <f>'01'!S89</f>
        <v>TRESOL</v>
      </c>
      <c r="T89" s="30"/>
      <c r="U89" s="30"/>
      <c r="V89" s="137"/>
    </row>
    <row r="90" spans="2:22" ht="13.2" customHeight="1" x14ac:dyDescent="0.25"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2" t="str">
        <f>'01'!N90</f>
        <v>MUÑOZ HUAIQUIPAN</v>
      </c>
      <c r="O90" s="132" t="str">
        <f>'01'!O90</f>
        <v>NATALIA DEL ROSARIO</v>
      </c>
      <c r="P90" s="149">
        <f>'01'!P90</f>
        <v>18963622</v>
      </c>
      <c r="Q90" s="150">
        <f>'01'!Q90</f>
        <v>9</v>
      </c>
      <c r="R90" s="132" t="str">
        <f>'01'!R90</f>
        <v xml:space="preserve">ASISTENTE PREVENCION </v>
      </c>
      <c r="S90" s="132" t="str">
        <f>'01'!S90</f>
        <v>TRESOL</v>
      </c>
      <c r="T90" s="30"/>
      <c r="U90" s="30"/>
      <c r="V90" s="137"/>
    </row>
    <row r="91" spans="2:22" ht="13.2" customHeight="1" x14ac:dyDescent="0.25"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2" t="str">
        <f>'01'!N91</f>
        <v>MUÑOZ MILLACHEO</v>
      </c>
      <c r="O91" s="132" t="str">
        <f>'01'!O91</f>
        <v>FRANCISCO</v>
      </c>
      <c r="P91" s="149">
        <f>'01'!P91</f>
        <v>17891118</v>
      </c>
      <c r="Q91" s="150" t="str">
        <f>'01'!Q91</f>
        <v>K</v>
      </c>
      <c r="R91" s="132" t="str">
        <f>'01'!R91</f>
        <v>OPERARIO</v>
      </c>
      <c r="S91" s="132" t="str">
        <f>'01'!S91</f>
        <v>ARIDOS</v>
      </c>
      <c r="T91" s="30"/>
      <c r="U91" s="30"/>
      <c r="V91" s="137"/>
    </row>
    <row r="92" spans="2:22" ht="13.2" customHeight="1" x14ac:dyDescent="0.25"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2" t="str">
        <f>'01'!N92</f>
        <v>NAHUELPAN GAJARDO</v>
      </c>
      <c r="O92" s="132" t="str">
        <f>'01'!O92</f>
        <v>JORGE HERNAN</v>
      </c>
      <c r="P92" s="149">
        <f>'01'!P92</f>
        <v>19942538</v>
      </c>
      <c r="Q92" s="150">
        <f>'01'!Q92</f>
        <v>2</v>
      </c>
      <c r="R92" s="132" t="str">
        <f>'01'!R92</f>
        <v>OPERARIO</v>
      </c>
      <c r="S92" s="132" t="str">
        <f>'01'!S92</f>
        <v>TRESOL</v>
      </c>
      <c r="T92" s="29"/>
      <c r="U92" s="30"/>
      <c r="V92" s="137"/>
    </row>
    <row r="93" spans="2:22" ht="13.2" customHeight="1" x14ac:dyDescent="0.25"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2" t="str">
        <f>'01'!N93</f>
        <v>NAVARRETE LABRA</v>
      </c>
      <c r="O93" s="132" t="str">
        <f>'01'!O93</f>
        <v>BASTIAN ARIEL</v>
      </c>
      <c r="P93" s="149">
        <f>'01'!P93</f>
        <v>19439492</v>
      </c>
      <c r="Q93" s="150">
        <f>'01'!Q93</f>
        <v>6</v>
      </c>
      <c r="R93" s="132" t="str">
        <f>'01'!R93</f>
        <v>ADMINISTRATIVO</v>
      </c>
      <c r="S93" s="132" t="str">
        <f>'01'!S93</f>
        <v>TRESOL</v>
      </c>
      <c r="T93" s="30"/>
      <c r="U93" s="30"/>
      <c r="V93" s="137"/>
    </row>
    <row r="94" spans="2:22" ht="13.2" customHeight="1" x14ac:dyDescent="0.25"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2" t="str">
        <f>'01'!N94</f>
        <v>NAVARRO URREA</v>
      </c>
      <c r="O94" s="132" t="str">
        <f>'01'!O94</f>
        <v>JULIO CRISTOFER</v>
      </c>
      <c r="P94" s="149">
        <f>'01'!P94</f>
        <v>16463847</v>
      </c>
      <c r="Q94" s="150">
        <f>'01'!Q94</f>
        <v>2</v>
      </c>
      <c r="R94" s="132" t="str">
        <f>'01'!R94</f>
        <v>CONDUCTOR</v>
      </c>
      <c r="S94" s="132" t="str">
        <f>'01'!S94</f>
        <v>TRESOL</v>
      </c>
      <c r="T94" s="30"/>
      <c r="U94" s="30"/>
      <c r="V94" s="137"/>
    </row>
    <row r="95" spans="2:22" ht="13.2" customHeight="1" x14ac:dyDescent="0.25">
      <c r="B95" s="135"/>
      <c r="C95" s="135"/>
      <c r="D95" s="135"/>
      <c r="E95" s="135"/>
      <c r="F95" s="130"/>
      <c r="G95" s="135"/>
      <c r="H95" s="135"/>
      <c r="I95" s="135"/>
      <c r="J95" s="135"/>
      <c r="K95" s="135"/>
      <c r="L95" s="135"/>
      <c r="M95" s="135"/>
      <c r="N95" s="132" t="str">
        <f>'01'!N95</f>
        <v>NUÑEZ MEZA</v>
      </c>
      <c r="O95" s="132" t="str">
        <f>'01'!O95</f>
        <v>RODRIGO JAVIER</v>
      </c>
      <c r="P95" s="149">
        <f>'01'!P95</f>
        <v>21393910</v>
      </c>
      <c r="Q95" s="150">
        <f>'01'!Q95</f>
        <v>6</v>
      </c>
      <c r="R95" s="132" t="str">
        <f>'01'!R95</f>
        <v>AYUDANTE MECANICO</v>
      </c>
      <c r="S95" s="132" t="str">
        <f>'01'!S95</f>
        <v>TRESOL</v>
      </c>
      <c r="T95" s="29"/>
      <c r="U95" s="30"/>
      <c r="V95" s="137"/>
    </row>
    <row r="96" spans="2:22" ht="13.2" customHeight="1" x14ac:dyDescent="0.25">
      <c r="B96" s="130"/>
      <c r="C96" s="135"/>
      <c r="D96" s="130"/>
      <c r="E96" s="143"/>
      <c r="F96" s="135"/>
      <c r="G96" s="135"/>
      <c r="H96" s="135"/>
      <c r="I96" s="135"/>
      <c r="J96" s="135"/>
      <c r="K96" s="135"/>
      <c r="L96" s="135"/>
      <c r="M96" s="135"/>
      <c r="N96" s="132" t="str">
        <f>'01'!N96</f>
        <v>OCAMPO</v>
      </c>
      <c r="O96" s="132" t="str">
        <f>'01'!O96</f>
        <v>CESAR EDUARDO</v>
      </c>
      <c r="P96" s="149">
        <f>'01'!P96</f>
        <v>14577146</v>
      </c>
      <c r="Q96" s="150">
        <f>'01'!Q96</f>
        <v>3</v>
      </c>
      <c r="R96" s="132" t="str">
        <f>'01'!R96</f>
        <v>CHOFER</v>
      </c>
      <c r="S96" s="132" t="str">
        <f>'01'!S96</f>
        <v>ARIDOS</v>
      </c>
      <c r="T96" s="30"/>
      <c r="U96" s="29"/>
      <c r="V96" s="137"/>
    </row>
    <row r="97" spans="2:22" ht="13.2" customHeight="1" x14ac:dyDescent="0.25"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2" t="str">
        <f>'01'!N97</f>
        <v>OJEDA MINTE</v>
      </c>
      <c r="O97" s="132" t="str">
        <f>'01'!O97</f>
        <v>VICTOR ROBINSON</v>
      </c>
      <c r="P97" s="149">
        <f>'01'!P97</f>
        <v>19934408</v>
      </c>
      <c r="Q97" s="150">
        <f>'01'!Q97</f>
        <v>0</v>
      </c>
      <c r="R97" s="132" t="str">
        <f>'01'!R97</f>
        <v>MECANICO</v>
      </c>
      <c r="S97" s="132" t="str">
        <f>'01'!S97</f>
        <v>TRESOL</v>
      </c>
      <c r="T97" s="29"/>
      <c r="U97" s="30"/>
      <c r="V97" s="137"/>
    </row>
    <row r="98" spans="2:22" ht="13.2" customHeight="1" x14ac:dyDescent="0.25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2" t="str">
        <f>'01'!N98</f>
        <v>OLIVAREZ CARCAMO</v>
      </c>
      <c r="O98" s="132" t="str">
        <f>'01'!O98</f>
        <v>JUAN</v>
      </c>
      <c r="P98" s="149">
        <f>'01'!P98</f>
        <v>9450747</v>
      </c>
      <c r="Q98" s="150">
        <f>'01'!Q98</f>
        <v>2</v>
      </c>
      <c r="R98" s="132" t="str">
        <f>'01'!R98</f>
        <v>CHOFER</v>
      </c>
      <c r="S98" s="132" t="str">
        <f>'01'!S98</f>
        <v>ARIDOS</v>
      </c>
      <c r="T98" s="30"/>
      <c r="U98" s="139"/>
      <c r="V98" s="137"/>
    </row>
    <row r="99" spans="2:22" ht="13.2" customHeight="1" x14ac:dyDescent="0.25">
      <c r="B99" s="135"/>
      <c r="C99" s="135"/>
      <c r="D99" s="135"/>
      <c r="E99" s="135"/>
      <c r="F99" s="130"/>
      <c r="G99" s="135"/>
      <c r="H99" s="135"/>
      <c r="I99" s="135"/>
      <c r="J99" s="135"/>
      <c r="K99" s="135"/>
      <c r="L99" s="135"/>
      <c r="M99" s="135"/>
      <c r="N99" s="132" t="str">
        <f>'01'!N99</f>
        <v>PAILLAMAN CARCAMO</v>
      </c>
      <c r="O99" s="132" t="str">
        <f>'01'!O99</f>
        <v>SANDRA MARICEL</v>
      </c>
      <c r="P99" s="149">
        <f>'01'!P99</f>
        <v>13122170</v>
      </c>
      <c r="Q99" s="150">
        <f>'01'!Q99</f>
        <v>3</v>
      </c>
      <c r="R99" s="132" t="str">
        <f>'01'!R99</f>
        <v>GERENTE GESTIÓN Y PLANIF.</v>
      </c>
      <c r="S99" s="132" t="str">
        <f>'01'!S99</f>
        <v>TRESOL</v>
      </c>
      <c r="T99" s="30"/>
      <c r="U99" s="29"/>
      <c r="V99" s="137"/>
    </row>
    <row r="100" spans="2:22" ht="13.2" customHeight="1" x14ac:dyDescent="0.25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2" t="str">
        <f>'01'!N100</f>
        <v>PARDO BORQUEZ</v>
      </c>
      <c r="O100" s="132" t="str">
        <f>'01'!O100</f>
        <v>IGNACIO EDUARDO</v>
      </c>
      <c r="P100" s="149">
        <f>'01'!P100</f>
        <v>19028566</v>
      </c>
      <c r="Q100" s="150">
        <f>'01'!Q100</f>
        <v>9</v>
      </c>
      <c r="R100" s="132" t="str">
        <f>'01'!R100</f>
        <v>ASIST. GESTIÓN Y PLANIFICACION</v>
      </c>
      <c r="S100" s="132" t="str">
        <f>'01'!S100</f>
        <v>TRESOL</v>
      </c>
      <c r="T100" s="139"/>
      <c r="U100" s="29"/>
      <c r="V100" s="137"/>
    </row>
    <row r="101" spans="2:22" ht="13.2" customHeight="1" x14ac:dyDescent="0.25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2" t="str">
        <f>'01'!N101</f>
        <v>PAREDES MUÑOZ</v>
      </c>
      <c r="O101" s="132" t="str">
        <f>'01'!O101</f>
        <v>EVERARDO IGNACIO</v>
      </c>
      <c r="P101" s="149">
        <f>'01'!P101</f>
        <v>17214412</v>
      </c>
      <c r="Q101" s="150">
        <f>'01'!Q101</f>
        <v>8</v>
      </c>
      <c r="R101" s="132" t="str">
        <f>'01'!R101</f>
        <v>JEFE OPERACIONES</v>
      </c>
      <c r="S101" s="132" t="str">
        <f>'01'!S101</f>
        <v>ERSAN</v>
      </c>
      <c r="T101" s="30"/>
      <c r="U101" s="29"/>
      <c r="V101" s="140"/>
    </row>
    <row r="102" spans="2:22" ht="13.2" customHeight="1" x14ac:dyDescent="0.25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2" t="str">
        <f>'01'!N102</f>
        <v>PAREDES URBE</v>
      </c>
      <c r="O102" s="132" t="str">
        <f>'01'!O102</f>
        <v>OMAR ALEJANDRO</v>
      </c>
      <c r="P102" s="149">
        <f>'01'!P102</f>
        <v>12308577</v>
      </c>
      <c r="Q102" s="150">
        <f>'01'!Q102</f>
        <v>9</v>
      </c>
      <c r="R102" s="132" t="str">
        <f>'01'!R102</f>
        <v>ENCARGADO DE ADQUISICIONES</v>
      </c>
      <c r="S102" s="132" t="str">
        <f>'01'!S102</f>
        <v>TRESOL</v>
      </c>
      <c r="T102" s="29"/>
      <c r="U102" s="30"/>
      <c r="V102" s="137"/>
    </row>
    <row r="103" spans="2:22" ht="13.2" customHeight="1" x14ac:dyDescent="0.25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2" t="str">
        <f>'01'!N103</f>
        <v>PEREZ BORQUEZ</v>
      </c>
      <c r="O103" s="132" t="str">
        <f>'01'!O103</f>
        <v xml:space="preserve"> DANIEL</v>
      </c>
      <c r="P103" s="149">
        <f>'01'!P103</f>
        <v>12756578</v>
      </c>
      <c r="Q103" s="150">
        <f>'01'!Q103</f>
        <v>3</v>
      </c>
      <c r="R103" s="132" t="str">
        <f>'01'!R103</f>
        <v>CONDUCTOR</v>
      </c>
      <c r="S103" s="132" t="str">
        <f>'01'!S103</f>
        <v>TRESOL</v>
      </c>
      <c r="T103" s="30"/>
      <c r="U103" s="30"/>
      <c r="V103" s="137"/>
    </row>
    <row r="104" spans="2:22" ht="13.2" customHeight="1" x14ac:dyDescent="0.25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2" t="str">
        <f>'01'!N104</f>
        <v>PEREZ BORQUEZ</v>
      </c>
      <c r="O104" s="132" t="str">
        <f>'01'!O104</f>
        <v>JOSE HERNAN</v>
      </c>
      <c r="P104" s="149">
        <f>'01'!P104</f>
        <v>12756605</v>
      </c>
      <c r="Q104" s="150">
        <f>'01'!Q104</f>
        <v>4</v>
      </c>
      <c r="R104" s="132" t="str">
        <f>'01'!R104</f>
        <v>CHOFER</v>
      </c>
      <c r="S104" s="132" t="str">
        <f>'01'!S104</f>
        <v>ERSAN</v>
      </c>
      <c r="T104" s="139"/>
      <c r="U104" s="29"/>
      <c r="V104" s="137"/>
    </row>
    <row r="105" spans="2:22" ht="13.2" customHeight="1" x14ac:dyDescent="0.25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2" t="str">
        <f>'01'!N105</f>
        <v>POZO BARRIA</v>
      </c>
      <c r="O105" s="132" t="str">
        <f>'01'!O105</f>
        <v>VICTOR HUGO</v>
      </c>
      <c r="P105" s="149">
        <f>'01'!P105</f>
        <v>9264213</v>
      </c>
      <c r="Q105" s="150">
        <f>'01'!Q105</f>
        <v>5</v>
      </c>
      <c r="R105" s="132" t="str">
        <f>'01'!R105</f>
        <v>OPERADOR MAQUINA</v>
      </c>
      <c r="S105" s="132" t="str">
        <f>'01'!S105</f>
        <v>ARIDOS</v>
      </c>
      <c r="T105" s="30"/>
      <c r="U105" s="30"/>
      <c r="V105" s="137"/>
    </row>
    <row r="106" spans="2:22" ht="13.2" customHeight="1" x14ac:dyDescent="0.25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2" t="str">
        <f>'01'!N106</f>
        <v>PROVOSTE PINTO</v>
      </c>
      <c r="O106" s="132" t="str">
        <f>'01'!O106</f>
        <v>CÉSAR MAURICIO</v>
      </c>
      <c r="P106" s="149">
        <f>'01'!P106</f>
        <v>15276914</v>
      </c>
      <c r="Q106" s="150">
        <f>'01'!Q106</f>
        <v>8</v>
      </c>
      <c r="R106" s="132" t="str">
        <f>'01'!R106</f>
        <v>CHOFER</v>
      </c>
      <c r="S106" s="132" t="str">
        <f>'01'!S106</f>
        <v>ERSAN</v>
      </c>
      <c r="T106" s="29"/>
      <c r="U106" s="30"/>
      <c r="V106" s="137"/>
    </row>
    <row r="107" spans="2:22" ht="13.2" customHeight="1" x14ac:dyDescent="0.25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2" t="str">
        <f>'01'!N107</f>
        <v>REYES DELAGADO</v>
      </c>
      <c r="O107" s="132" t="str">
        <f>'01'!O107</f>
        <v>OSVALDO ARTURO</v>
      </c>
      <c r="P107" s="149">
        <f>'01'!P107</f>
        <v>12005685</v>
      </c>
      <c r="Q107" s="150">
        <f>'01'!Q107</f>
        <v>9</v>
      </c>
      <c r="R107" s="132" t="str">
        <f>'01'!R107</f>
        <v>CONTROL DE LOGISTICA</v>
      </c>
      <c r="S107" s="132" t="str">
        <f>'01'!S107</f>
        <v>TRESOL</v>
      </c>
      <c r="T107" s="30"/>
      <c r="U107" s="30"/>
      <c r="V107" s="137"/>
    </row>
    <row r="108" spans="2:22" ht="13.2" customHeight="1" x14ac:dyDescent="0.25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2" t="str">
        <f>'01'!N108</f>
        <v>RIQUELME MUÑOZ</v>
      </c>
      <c r="O108" s="132" t="str">
        <f>'01'!O108</f>
        <v>MARTIN DIEGO</v>
      </c>
      <c r="P108" s="149">
        <f>'01'!P108</f>
        <v>18402569</v>
      </c>
      <c r="Q108" s="150">
        <f>'01'!Q108</f>
        <v>8</v>
      </c>
      <c r="R108" s="132" t="str">
        <f>'01'!R108</f>
        <v>ASISTENTE PREVENCION</v>
      </c>
      <c r="S108" s="132" t="str">
        <f>'01'!S108</f>
        <v>TRESOL</v>
      </c>
      <c r="T108" s="29"/>
      <c r="U108" s="29"/>
      <c r="V108" s="140"/>
    </row>
    <row r="109" spans="2:22" ht="13.2" customHeight="1" x14ac:dyDescent="0.25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2" t="str">
        <f>'01'!N109</f>
        <v>RIQUELME NAVARRETE</v>
      </c>
      <c r="O109" s="132" t="str">
        <f>'01'!O109</f>
        <v>ALBERT PATRICK</v>
      </c>
      <c r="P109" s="149">
        <f>'01'!P109</f>
        <v>15530931</v>
      </c>
      <c r="Q109" s="150">
        <f>'01'!Q109</f>
        <v>8</v>
      </c>
      <c r="R109" s="132" t="str">
        <f>'01'!R109</f>
        <v>CONDUCTOR</v>
      </c>
      <c r="S109" s="132" t="str">
        <f>'01'!S109</f>
        <v>TRESOL</v>
      </c>
      <c r="T109" s="30"/>
      <c r="U109" s="30"/>
      <c r="V109" s="137"/>
    </row>
    <row r="110" spans="2:22" ht="13.2" customHeight="1" x14ac:dyDescent="0.25"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2" t="str">
        <f>'01'!N110</f>
        <v>RIVERAS VARGAS</v>
      </c>
      <c r="O110" s="132" t="str">
        <f>'01'!O110</f>
        <v>CRISTIAN ALONSO</v>
      </c>
      <c r="P110" s="149">
        <f>'01'!P110</f>
        <v>13122748</v>
      </c>
      <c r="Q110" s="150">
        <f>'01'!Q110</f>
        <v>5</v>
      </c>
      <c r="R110" s="132" t="str">
        <f>'01'!R110</f>
        <v>CONDUCTOR</v>
      </c>
      <c r="S110" s="132" t="str">
        <f>'01'!S110</f>
        <v>TRESOL</v>
      </c>
      <c r="T110" s="29"/>
      <c r="U110" s="30"/>
      <c r="V110" s="137"/>
    </row>
    <row r="111" spans="2:22" ht="13.2" customHeight="1" x14ac:dyDescent="0.25"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2" t="str">
        <f>'01'!N111</f>
        <v>ROBLES LEON</v>
      </c>
      <c r="O111" s="132" t="str">
        <f>'01'!O111</f>
        <v>MARGARET JOSELIN</v>
      </c>
      <c r="P111" s="149">
        <f>'01'!P111</f>
        <v>27827516</v>
      </c>
      <c r="Q111" s="150">
        <f>'01'!Q111</f>
        <v>7</v>
      </c>
      <c r="R111" s="132" t="str">
        <f>'01'!R111</f>
        <v xml:space="preserve">JEFA ADQUISICIONES </v>
      </c>
      <c r="S111" s="132" t="str">
        <f>'01'!S111</f>
        <v>TRESOL</v>
      </c>
      <c r="T111" s="30"/>
      <c r="U111" s="30"/>
      <c r="V111" s="137"/>
    </row>
    <row r="112" spans="2:22" ht="13.2" customHeight="1" x14ac:dyDescent="0.25"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2" t="str">
        <f>'01'!N112</f>
        <v>RODRIGUEZ</v>
      </c>
      <c r="O112" s="132" t="str">
        <f>'01'!O112</f>
        <v>MARIO ALFREDO</v>
      </c>
      <c r="P112" s="149">
        <f>'01'!P112</f>
        <v>26726383</v>
      </c>
      <c r="Q112" s="150">
        <f>'01'!Q112</f>
        <v>3</v>
      </c>
      <c r="R112" s="132" t="str">
        <f>'01'!R112</f>
        <v>SOLDADOR</v>
      </c>
      <c r="S112" s="132" t="str">
        <f>'01'!S112</f>
        <v>TRESOL</v>
      </c>
      <c r="T112" s="30"/>
      <c r="U112" s="30"/>
      <c r="V112" s="137"/>
    </row>
    <row r="113" spans="2:22" ht="13.2" customHeight="1" x14ac:dyDescent="0.25"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2" t="str">
        <f>'01'!N113</f>
        <v>RODRIGUEZ LOPETEGUI</v>
      </c>
      <c r="O113" s="132" t="str">
        <f>'01'!O113</f>
        <v>EUGENIA CRISTINA</v>
      </c>
      <c r="P113" s="149">
        <f>'01'!P113</f>
        <v>10340886</v>
      </c>
      <c r="Q113" s="150">
        <f>'01'!Q113</f>
        <v>5</v>
      </c>
      <c r="R113" s="132" t="str">
        <f>'01'!R113</f>
        <v>GERENTE GENERAL</v>
      </c>
      <c r="S113" s="132" t="str">
        <f>'01'!S113</f>
        <v>ERSAN</v>
      </c>
      <c r="T113" s="133"/>
      <c r="U113" s="133"/>
      <c r="V113" s="134"/>
    </row>
    <row r="114" spans="2:22" ht="13.2" customHeight="1" x14ac:dyDescent="0.25"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2" t="str">
        <f>'01'!N114</f>
        <v>RODRIGUEZ VALDEBENITO</v>
      </c>
      <c r="O114" s="132" t="str">
        <f>'01'!O114</f>
        <v>IVAN RICARDO</v>
      </c>
      <c r="P114" s="149">
        <f>'01'!P114</f>
        <v>9255165</v>
      </c>
      <c r="Q114" s="150">
        <f>'01'!Q114</f>
        <v>2</v>
      </c>
      <c r="R114" s="132" t="str">
        <f>'01'!R114</f>
        <v>OPERADOR MAQUINA</v>
      </c>
      <c r="S114" s="132" t="str">
        <f>'01'!S114</f>
        <v>ARIDOS</v>
      </c>
      <c r="T114" s="30"/>
      <c r="U114" s="30"/>
      <c r="V114" s="137"/>
    </row>
    <row r="115" spans="2:22" ht="13.2" customHeight="1" x14ac:dyDescent="0.25">
      <c r="B115" s="135"/>
      <c r="C115" s="135"/>
      <c r="D115" s="135"/>
      <c r="E115" s="135"/>
      <c r="F115" s="135"/>
      <c r="G115" s="135"/>
      <c r="H115" s="135"/>
      <c r="I115" s="130"/>
      <c r="J115" s="135"/>
      <c r="K115" s="135"/>
      <c r="L115" s="135"/>
      <c r="M115" s="135"/>
      <c r="N115" s="132" t="str">
        <f>'01'!N115</f>
        <v xml:space="preserve">ROSAS VARGAS </v>
      </c>
      <c r="O115" s="132" t="str">
        <f>'01'!O115</f>
        <v>MARCIA</v>
      </c>
      <c r="P115" s="149">
        <f>'01'!P115</f>
        <v>16250846</v>
      </c>
      <c r="Q115" s="150">
        <f>'01'!Q115</f>
        <v>6</v>
      </c>
      <c r="R115" s="132" t="str">
        <f>'01'!R115</f>
        <v>ASISTENTE RRHH</v>
      </c>
      <c r="S115" s="132" t="str">
        <f>'01'!S115</f>
        <v>TRESOL</v>
      </c>
      <c r="T115" s="29"/>
      <c r="U115" s="29"/>
      <c r="V115" s="137"/>
    </row>
    <row r="116" spans="2:22" ht="13.2" customHeight="1" x14ac:dyDescent="0.25"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2" t="str">
        <f>'01'!N116</f>
        <v>SALDIVIA VIDAL</v>
      </c>
      <c r="O116" s="132" t="str">
        <f>'01'!O116</f>
        <v>ANDRES LUCIANO</v>
      </c>
      <c r="P116" s="149">
        <f>'01'!P116</f>
        <v>17947134</v>
      </c>
      <c r="Q116" s="150">
        <f>'01'!Q116</f>
        <v>5</v>
      </c>
      <c r="R116" s="132" t="str">
        <f>'01'!R116</f>
        <v>CONDUCTOR</v>
      </c>
      <c r="S116" s="132" t="str">
        <f>'01'!S116</f>
        <v>TRESOL</v>
      </c>
      <c r="T116" s="29"/>
      <c r="U116" s="30"/>
      <c r="V116" s="137"/>
    </row>
    <row r="117" spans="2:22" ht="13.2" customHeight="1" x14ac:dyDescent="0.25"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2" t="str">
        <f>'01'!N117</f>
        <v>SANCHEZ VIVAS</v>
      </c>
      <c r="O117" s="132" t="str">
        <f>'01'!O117</f>
        <v>ANGEL JOSUE</v>
      </c>
      <c r="P117" s="149">
        <f>'01'!P117</f>
        <v>27115098</v>
      </c>
      <c r="Q117" s="150">
        <f>'01'!Q117</f>
        <v>9</v>
      </c>
      <c r="R117" s="132" t="str">
        <f>'01'!R117</f>
        <v>OPERARIO</v>
      </c>
      <c r="S117" s="132" t="str">
        <f>'01'!S117</f>
        <v>ERSAN</v>
      </c>
      <c r="T117" s="30"/>
      <c r="U117" s="30"/>
      <c r="V117" s="137"/>
    </row>
    <row r="118" spans="2:22" ht="13.2" customHeight="1" x14ac:dyDescent="0.25"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2" t="str">
        <f>'01'!N118</f>
        <v>SANTANA ALARCON</v>
      </c>
      <c r="O118" s="132" t="str">
        <f>'01'!O118</f>
        <v>LUIS ANDRES</v>
      </c>
      <c r="P118" s="149">
        <f>'01'!P118</f>
        <v>15996586</v>
      </c>
      <c r="Q118" s="150">
        <f>'01'!Q118</f>
        <v>4</v>
      </c>
      <c r="R118" s="132" t="str">
        <f>'01'!R118</f>
        <v>SOLDADOR</v>
      </c>
      <c r="S118" s="132" t="str">
        <f>'01'!S118</f>
        <v>TRESOL</v>
      </c>
      <c r="T118" s="30"/>
      <c r="U118" s="30"/>
      <c r="V118" s="137"/>
    </row>
    <row r="119" spans="2:22" ht="13.2" customHeight="1" x14ac:dyDescent="0.25"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2" t="str">
        <f>'01'!N119</f>
        <v>SCHMUCK BOHLE</v>
      </c>
      <c r="O119" s="132" t="str">
        <f>'01'!O119</f>
        <v>IVAN EDUARDO</v>
      </c>
      <c r="P119" s="149">
        <f>'01'!P119</f>
        <v>15904483</v>
      </c>
      <c r="Q119" s="150">
        <f>'01'!Q119</f>
        <v>1</v>
      </c>
      <c r="R119" s="132" t="str">
        <f>'01'!R119</f>
        <v>OPERADOR MAQUINA</v>
      </c>
      <c r="S119" s="132" t="str">
        <f>'01'!S119</f>
        <v>ARIDOS</v>
      </c>
      <c r="T119" s="138"/>
      <c r="U119" s="133"/>
      <c r="V119" s="134"/>
    </row>
    <row r="120" spans="2:22" ht="13.2" customHeight="1" x14ac:dyDescent="0.25"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2" t="str">
        <f>'01'!N120</f>
        <v>SEGURA CARES</v>
      </c>
      <c r="O120" s="132" t="str">
        <f>'01'!O120</f>
        <v>ERWIN ANTONIO</v>
      </c>
      <c r="P120" s="149">
        <f>'01'!P120</f>
        <v>13400009</v>
      </c>
      <c r="Q120" s="150">
        <f>'01'!Q120</f>
        <v>0</v>
      </c>
      <c r="R120" s="132" t="str">
        <f>'01'!R120</f>
        <v>CONDUCTOR</v>
      </c>
      <c r="S120" s="132" t="str">
        <f>'01'!S120</f>
        <v>TRESOL</v>
      </c>
      <c r="T120" s="30"/>
      <c r="U120" s="30"/>
      <c r="V120" s="137"/>
    </row>
    <row r="121" spans="2:22" ht="13.2" customHeight="1" x14ac:dyDescent="0.25"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2" t="str">
        <f>'01'!N121</f>
        <v>SILVA</v>
      </c>
      <c r="O121" s="132" t="str">
        <f>'01'!O121</f>
        <v>MARIO</v>
      </c>
      <c r="P121" s="149">
        <f>'01'!P121</f>
        <v>13121441</v>
      </c>
      <c r="Q121" s="150">
        <f>'01'!Q121</f>
        <v>3</v>
      </c>
      <c r="R121" s="132" t="str">
        <f>'01'!R121</f>
        <v>ASESOR</v>
      </c>
      <c r="S121" s="132" t="str">
        <f>'01'!S121</f>
        <v>GESTOR SPA</v>
      </c>
      <c r="T121" s="30"/>
      <c r="U121" s="29"/>
      <c r="V121" s="140"/>
    </row>
    <row r="122" spans="2:22" ht="13.2" customHeight="1" x14ac:dyDescent="0.25"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2" t="str">
        <f>'01'!N122</f>
        <v>SOLIS</v>
      </c>
      <c r="O122" s="132" t="str">
        <f>'01'!O122</f>
        <v>DANIEL ALFONSO</v>
      </c>
      <c r="P122" s="149">
        <f>'01'!P122</f>
        <v>24292548</v>
      </c>
      <c r="Q122" s="150">
        <f>'01'!Q122</f>
        <v>3</v>
      </c>
      <c r="R122" s="132" t="str">
        <f>'01'!R122</f>
        <v>OPERARIO DE SEGREGACIÓN</v>
      </c>
      <c r="S122" s="132" t="str">
        <f>'01'!S122</f>
        <v>TRESOL</v>
      </c>
      <c r="T122" s="146"/>
      <c r="U122" s="30"/>
      <c r="V122" s="137"/>
    </row>
    <row r="123" spans="2:22" ht="13.2" customHeight="1" x14ac:dyDescent="0.25"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2" t="str">
        <f>'01'!N123</f>
        <v>SOTO BARRIA</v>
      </c>
      <c r="O123" s="132" t="str">
        <f>'01'!O123</f>
        <v>ERVIN DARIO</v>
      </c>
      <c r="P123" s="149">
        <f>'01'!P123</f>
        <v>11714076</v>
      </c>
      <c r="Q123" s="150">
        <f>'01'!Q123</f>
        <v>8</v>
      </c>
      <c r="R123" s="132" t="str">
        <f>'01'!R123</f>
        <v>CONDUCTOR</v>
      </c>
      <c r="S123" s="132" t="str">
        <f>'01'!S123</f>
        <v>TRESOL</v>
      </c>
      <c r="T123" s="29"/>
      <c r="U123" s="30"/>
      <c r="V123" s="137"/>
    </row>
    <row r="124" spans="2:22" ht="13.2" customHeight="1" x14ac:dyDescent="0.25"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2" t="str">
        <f>'01'!N124</f>
        <v>SOTO GUZMAN</v>
      </c>
      <c r="O124" s="132" t="str">
        <f>'01'!O124</f>
        <v>LUIS ALEJANDRO</v>
      </c>
      <c r="P124" s="149">
        <f>'01'!P124</f>
        <v>17998017</v>
      </c>
      <c r="Q124" s="150">
        <f>'01'!Q124</f>
        <v>7</v>
      </c>
      <c r="R124" s="132" t="str">
        <f>'01'!R124</f>
        <v>CONDUCTOR</v>
      </c>
      <c r="S124" s="132" t="str">
        <f>'01'!S124</f>
        <v>TRESOL</v>
      </c>
      <c r="T124" s="29"/>
      <c r="U124" s="29"/>
      <c r="V124" s="137"/>
    </row>
    <row r="125" spans="2:22" ht="13.2" customHeight="1" x14ac:dyDescent="0.25"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2" t="str">
        <f>'01'!N125</f>
        <v>SOTO OJEDA</v>
      </c>
      <c r="O125" s="132" t="str">
        <f>'01'!O125</f>
        <v>ERVIN ARIEL</v>
      </c>
      <c r="P125" s="149">
        <f>'01'!P125</f>
        <v>21413069</v>
      </c>
      <c r="Q125" s="150">
        <f>'01'!Q125</f>
        <v>6</v>
      </c>
      <c r="R125" s="132" t="str">
        <f>'01'!R125</f>
        <v>OPERARIO</v>
      </c>
      <c r="S125" s="132" t="str">
        <f>'01'!S125</f>
        <v>TRESOL</v>
      </c>
      <c r="T125" s="29"/>
      <c r="U125" s="30"/>
      <c r="V125" s="137"/>
    </row>
    <row r="126" spans="2:22" ht="13.2" customHeight="1" x14ac:dyDescent="0.25"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2" t="str">
        <f>'01'!N126</f>
        <v>SOTO PEREZ</v>
      </c>
      <c r="O126" s="132" t="str">
        <f>'01'!O126</f>
        <v>RODOLFO ALIRO</v>
      </c>
      <c r="P126" s="149">
        <f>'01'!P126</f>
        <v>14440539</v>
      </c>
      <c r="Q126" s="150">
        <f>'01'!Q126</f>
        <v>0</v>
      </c>
      <c r="R126" s="132" t="str">
        <f>'01'!R126</f>
        <v>ENCARGADO DE COMPRAS</v>
      </c>
      <c r="S126" s="132" t="str">
        <f>'01'!S126</f>
        <v>TRESOL</v>
      </c>
      <c r="T126" s="133"/>
      <c r="U126" s="133"/>
      <c r="V126" s="134"/>
    </row>
    <row r="127" spans="2:22" ht="13.2" customHeight="1" x14ac:dyDescent="0.25"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2" t="str">
        <f>'01'!N127</f>
        <v>SOTO SOTO</v>
      </c>
      <c r="O127" s="132" t="str">
        <f>'01'!O127</f>
        <v>JORGE ALEJANDRO</v>
      </c>
      <c r="P127" s="149">
        <f>'01'!P127</f>
        <v>13122595</v>
      </c>
      <c r="Q127" s="150">
        <f>'01'!Q127</f>
        <v>4</v>
      </c>
      <c r="R127" s="132" t="str">
        <f>'01'!R127</f>
        <v>ADMINISTRATIVO</v>
      </c>
      <c r="S127" s="132" t="str">
        <f>'01'!S127</f>
        <v>ARIDOS</v>
      </c>
      <c r="T127" s="29"/>
      <c r="U127" s="29"/>
      <c r="V127" s="137"/>
    </row>
    <row r="128" spans="2:22" ht="13.2" customHeight="1" x14ac:dyDescent="0.25"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2" t="str">
        <f>'01'!N128</f>
        <v>TELLEZ ARGEL</v>
      </c>
      <c r="O128" s="132" t="str">
        <f>'01'!O128</f>
        <v>CRISTIAN ALEJANDRO</v>
      </c>
      <c r="P128" s="149">
        <f>'01'!P128</f>
        <v>17889038</v>
      </c>
      <c r="Q128" s="150">
        <f>'01'!Q128</f>
        <v>7</v>
      </c>
      <c r="R128" s="132" t="str">
        <f>'01'!R128</f>
        <v>OPERARIO PATIO</v>
      </c>
      <c r="S128" s="132" t="str">
        <f>'01'!S128</f>
        <v>TRESOL</v>
      </c>
      <c r="T128" s="30"/>
      <c r="U128" s="30"/>
      <c r="V128" s="137"/>
    </row>
    <row r="129" spans="2:22" ht="13.2" customHeight="1" x14ac:dyDescent="0.25"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2" t="str">
        <f>'01'!N129</f>
        <v>TENORIO OYARZO</v>
      </c>
      <c r="O129" s="132" t="str">
        <f>'01'!O129</f>
        <v>JORGE MARCELO</v>
      </c>
      <c r="P129" s="149">
        <f>'01'!P129</f>
        <v>11691591</v>
      </c>
      <c r="Q129" s="150" t="str">
        <f>'01'!Q129</f>
        <v>K</v>
      </c>
      <c r="R129" s="132" t="str">
        <f>'01'!R129</f>
        <v xml:space="preserve">ELECTRO MECANICO </v>
      </c>
      <c r="S129" s="132" t="str">
        <f>'01'!S129</f>
        <v>TRESOL</v>
      </c>
      <c r="T129" s="30"/>
      <c r="U129" s="30"/>
      <c r="V129" s="137"/>
    </row>
    <row r="130" spans="2:22" ht="13.2" customHeight="1" x14ac:dyDescent="0.25"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2" t="str">
        <f>'01'!N130</f>
        <v>TORO MAULEN</v>
      </c>
      <c r="O130" s="132" t="str">
        <f>'01'!O130</f>
        <v>DANIEL ANDRES</v>
      </c>
      <c r="P130" s="149">
        <f>'01'!P130</f>
        <v>11838238</v>
      </c>
      <c r="Q130" s="150">
        <f>'01'!Q130</f>
        <v>2</v>
      </c>
      <c r="R130" s="132" t="str">
        <f>'01'!R130</f>
        <v>CONTROL LOGISTICO</v>
      </c>
      <c r="S130" s="132" t="str">
        <f>'01'!S130</f>
        <v>ARIDOS</v>
      </c>
      <c r="T130" s="30"/>
      <c r="U130" s="30"/>
      <c r="V130" s="137"/>
    </row>
    <row r="131" spans="2:22" ht="13.2" customHeight="1" x14ac:dyDescent="0.25"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2" t="str">
        <f>'01'!N131</f>
        <v>TORO SANCHEZ</v>
      </c>
      <c r="O131" s="132" t="str">
        <f>'01'!O131</f>
        <v>NATALIA GREESE</v>
      </c>
      <c r="P131" s="149">
        <f>'01'!P131</f>
        <v>17926521</v>
      </c>
      <c r="Q131" s="150">
        <f>'01'!Q131</f>
        <v>4</v>
      </c>
      <c r="R131" s="132" t="str">
        <f>'01'!R131</f>
        <v>ASISTENTE FINAZAS</v>
      </c>
      <c r="S131" s="132" t="str">
        <f>'01'!S131</f>
        <v>TRESOL</v>
      </c>
      <c r="T131" s="29"/>
      <c r="U131" s="29"/>
      <c r="V131" s="137"/>
    </row>
    <row r="132" spans="2:22" ht="13.2" customHeight="1" x14ac:dyDescent="0.25"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2" t="str">
        <f>'01'!N132</f>
        <v>TORREALBA VALENZUELA</v>
      </c>
      <c r="O132" s="132" t="str">
        <f>'01'!O132</f>
        <v>MAURICIO JAVIER</v>
      </c>
      <c r="P132" s="149">
        <f>'01'!P132</f>
        <v>12753058</v>
      </c>
      <c r="Q132" s="150">
        <f>'01'!Q132</f>
        <v>0</v>
      </c>
      <c r="R132" s="132" t="str">
        <f>'01'!R132</f>
        <v>CONDUCTOR</v>
      </c>
      <c r="S132" s="132" t="str">
        <f>'01'!S132</f>
        <v>TRESOL</v>
      </c>
      <c r="T132" s="146"/>
      <c r="U132" s="29"/>
      <c r="V132" s="137"/>
    </row>
    <row r="133" spans="2:22" ht="13.2" customHeight="1" x14ac:dyDescent="0.25"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2" t="str">
        <f>'01'!N133</f>
        <v>TORRES ALMONACID</v>
      </c>
      <c r="O133" s="132" t="str">
        <f>'01'!O133</f>
        <v>CRISTIAN ALEJANDRO</v>
      </c>
      <c r="P133" s="149">
        <f>'01'!P133</f>
        <v>17296534</v>
      </c>
      <c r="Q133" s="150">
        <f>'01'!Q133</f>
        <v>2</v>
      </c>
      <c r="R133" s="132" t="str">
        <f>'01'!R133</f>
        <v>CONDUCTOR</v>
      </c>
      <c r="S133" s="132" t="str">
        <f>'01'!S133</f>
        <v>TRESOL</v>
      </c>
      <c r="T133" s="30"/>
      <c r="U133" s="30"/>
      <c r="V133" s="137"/>
    </row>
    <row r="134" spans="2:22" ht="13.2" customHeight="1" x14ac:dyDescent="0.25"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2" t="str">
        <f>'01'!N134</f>
        <v>TROQUIAN VIDAL</v>
      </c>
      <c r="O134" s="132" t="str">
        <f>'01'!O134</f>
        <v>ROLANDO ARTEMIO</v>
      </c>
      <c r="P134" s="149">
        <f>'01'!P134</f>
        <v>9650080</v>
      </c>
      <c r="Q134" s="150">
        <f>'01'!Q134</f>
        <v>7</v>
      </c>
      <c r="R134" s="132" t="str">
        <f>'01'!R134</f>
        <v>CONDUCTOR</v>
      </c>
      <c r="S134" s="132" t="str">
        <f>'01'!S134</f>
        <v>TRESOL</v>
      </c>
      <c r="T134" s="30"/>
      <c r="U134" s="30"/>
      <c r="V134" s="137"/>
    </row>
    <row r="135" spans="2:22" ht="13.2" customHeight="1" x14ac:dyDescent="0.25"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2" t="str">
        <f>'01'!N135</f>
        <v>URIBE PEREZ</v>
      </c>
      <c r="O135" s="132" t="str">
        <f>'01'!O135</f>
        <v>JUAN ORLANDO</v>
      </c>
      <c r="P135" s="149">
        <f>'01'!P135</f>
        <v>14394480</v>
      </c>
      <c r="Q135" s="150">
        <f>'01'!Q135</f>
        <v>8</v>
      </c>
      <c r="R135" s="132" t="str">
        <f>'01'!R135</f>
        <v>JEFE OPERACIONES</v>
      </c>
      <c r="S135" s="132" t="str">
        <f>'01'!S135</f>
        <v>ARIDOS</v>
      </c>
      <c r="T135" s="30"/>
      <c r="U135" s="30"/>
      <c r="V135" s="137"/>
    </row>
    <row r="136" spans="2:22" ht="13.2" customHeight="1" x14ac:dyDescent="0.25"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2" t="str">
        <f>'01'!N136</f>
        <v>VARGAS ALMONACID</v>
      </c>
      <c r="O136" s="132" t="str">
        <f>'01'!O136</f>
        <v>FRANCISCO</v>
      </c>
      <c r="P136" s="149">
        <f>'01'!P136</f>
        <v>7857732</v>
      </c>
      <c r="Q136" s="150">
        <f>'01'!Q136</f>
        <v>0</v>
      </c>
      <c r="R136" s="132" t="str">
        <f>'01'!R136</f>
        <v>OPERARIO</v>
      </c>
      <c r="S136" s="132" t="str">
        <f>'01'!S136</f>
        <v>TRESOL</v>
      </c>
      <c r="T136" s="30"/>
      <c r="U136" s="30"/>
      <c r="V136" s="134"/>
    </row>
    <row r="137" spans="2:22" ht="13.2" customHeight="1" x14ac:dyDescent="0.25"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2" t="str">
        <f>'01'!N137</f>
        <v>VARGAS HERNANDEZ</v>
      </c>
      <c r="O137" s="132" t="str">
        <f>'01'!O137</f>
        <v xml:space="preserve"> ANTONIO</v>
      </c>
      <c r="P137" s="149">
        <f>'01'!P137</f>
        <v>12932517</v>
      </c>
      <c r="Q137" s="150">
        <f>'01'!Q137</f>
        <v>8</v>
      </c>
      <c r="R137" s="132" t="str">
        <f>'01'!R137</f>
        <v>OPERARIO</v>
      </c>
      <c r="S137" s="132" t="str">
        <f>'01'!S137</f>
        <v>TRESOL</v>
      </c>
      <c r="T137" s="30"/>
      <c r="U137" s="30"/>
      <c r="V137" s="134"/>
    </row>
    <row r="138" spans="2:22" ht="13.2" customHeight="1" x14ac:dyDescent="0.25"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2" t="str">
        <f>'01'!N138</f>
        <v>VARGAS HERNANDEZ</v>
      </c>
      <c r="O138" s="132" t="str">
        <f>'01'!O138</f>
        <v>EDUARDO ANTONIO</v>
      </c>
      <c r="P138" s="149">
        <f>'01'!P138</f>
        <v>12932517</v>
      </c>
      <c r="Q138" s="150">
        <f>'01'!Q138</f>
        <v>8</v>
      </c>
      <c r="R138" s="132" t="str">
        <f>'01'!R138</f>
        <v>OPERARIO</v>
      </c>
      <c r="S138" s="132" t="str">
        <f>'01'!S138</f>
        <v>TRESOL</v>
      </c>
      <c r="T138" s="29"/>
      <c r="U138" s="30"/>
      <c r="V138" s="147"/>
    </row>
    <row r="139" spans="2:22" ht="13.2" customHeight="1" x14ac:dyDescent="0.25"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2" t="str">
        <f>'01'!N139</f>
        <v>VARGAS TOLEDO</v>
      </c>
      <c r="O139" s="132" t="str">
        <f>'01'!O139</f>
        <v>JEANETTE</v>
      </c>
      <c r="P139" s="149">
        <f>'01'!P139</f>
        <v>12933999</v>
      </c>
      <c r="Q139" s="150">
        <f>'01'!Q139</f>
        <v>3</v>
      </c>
      <c r="R139" s="132" t="str">
        <f>'01'!R139</f>
        <v>SUBGERENTE RRHH</v>
      </c>
      <c r="S139" s="132" t="str">
        <f>'01'!S139</f>
        <v>TRESOL</v>
      </c>
      <c r="T139" s="29"/>
      <c r="U139" s="30"/>
      <c r="V139" s="134"/>
    </row>
    <row r="140" spans="2:22" ht="13.2" customHeight="1" x14ac:dyDescent="0.25"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2" t="str">
        <f>'01'!N140</f>
        <v>VARGAS VARGAS</v>
      </c>
      <c r="O140" s="132" t="str">
        <f>'01'!O140</f>
        <v>CAROLINA ALEJANDRA</v>
      </c>
      <c r="P140" s="149">
        <f>'01'!P140</f>
        <v>17299306</v>
      </c>
      <c r="Q140" s="150">
        <f>'01'!Q140</f>
        <v>0</v>
      </c>
      <c r="R140" s="132" t="str">
        <f>'01'!R140</f>
        <v>JEFA FINAZAS</v>
      </c>
      <c r="S140" s="132" t="str">
        <f>'01'!S140</f>
        <v>TRESOL</v>
      </c>
      <c r="T140" s="30"/>
      <c r="U140" s="30"/>
      <c r="V140" s="134"/>
    </row>
    <row r="141" spans="2:22" ht="13.2" customHeight="1" x14ac:dyDescent="0.25">
      <c r="B141" s="135"/>
      <c r="C141" s="135"/>
      <c r="D141" s="143"/>
      <c r="E141" s="135"/>
      <c r="F141" s="135"/>
      <c r="G141" s="135"/>
      <c r="H141" s="135"/>
      <c r="I141" s="135"/>
      <c r="J141" s="135"/>
      <c r="K141" s="135"/>
      <c r="L141" s="135"/>
      <c r="M141" s="135"/>
      <c r="N141" s="132" t="str">
        <f>'01'!N141</f>
        <v>VARGAS VARGAS</v>
      </c>
      <c r="O141" s="132" t="str">
        <f>'01'!O141</f>
        <v>ROBINSON RODRIGO</v>
      </c>
      <c r="P141" s="149">
        <f>'01'!P141</f>
        <v>15528649</v>
      </c>
      <c r="Q141" s="150">
        <f>'01'!Q141</f>
        <v>0</v>
      </c>
      <c r="R141" s="132" t="str">
        <f>'01'!R141</f>
        <v>CONDUCTOR</v>
      </c>
      <c r="S141" s="132" t="str">
        <f>'01'!S141</f>
        <v>TRESOL</v>
      </c>
      <c r="T141" s="30"/>
      <c r="U141" s="30"/>
      <c r="V141" s="148"/>
    </row>
    <row r="142" spans="2:22" ht="13.2" customHeight="1" x14ac:dyDescent="0.25">
      <c r="B142" s="135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32" t="str">
        <f>'01'!N142</f>
        <v>VASQUEZ ANTIPAN</v>
      </c>
      <c r="O142" s="132" t="str">
        <f>'01'!O142</f>
        <v>LUIS FELIPE</v>
      </c>
      <c r="P142" s="149">
        <f>'01'!P142</f>
        <v>20611255</v>
      </c>
      <c r="Q142" s="150">
        <f>'01'!Q142</f>
        <v>7</v>
      </c>
      <c r="R142" s="132" t="str">
        <f>'01'!R142</f>
        <v>CONDUCTOR</v>
      </c>
      <c r="S142" s="132" t="str">
        <f>'01'!S142</f>
        <v>TRESOL</v>
      </c>
      <c r="T142" s="30"/>
      <c r="U142" s="30"/>
      <c r="V142" s="134"/>
    </row>
    <row r="143" spans="2:22" ht="13.2" customHeight="1" x14ac:dyDescent="0.25">
      <c r="B143" s="135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32">
        <f>'01'!N143</f>
        <v>0</v>
      </c>
      <c r="O143" s="132">
        <f>'01'!O143</f>
        <v>0</v>
      </c>
      <c r="P143" s="149">
        <f>'01'!P143</f>
        <v>0</v>
      </c>
      <c r="Q143" s="150">
        <f>'01'!Q143</f>
        <v>0</v>
      </c>
      <c r="R143" s="132">
        <f>'01'!R143</f>
        <v>0</v>
      </c>
      <c r="S143" s="132">
        <f>'01'!S143</f>
        <v>0</v>
      </c>
      <c r="T143" s="30"/>
      <c r="U143" s="30"/>
      <c r="V143" s="134"/>
    </row>
    <row r="144" spans="2:22" ht="13.2" customHeight="1" x14ac:dyDescent="0.25">
      <c r="B144" s="135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32">
        <f>'01'!N144</f>
        <v>0</v>
      </c>
      <c r="O144" s="132">
        <f>'01'!O144</f>
        <v>0</v>
      </c>
      <c r="P144" s="149">
        <f>'01'!P144</f>
        <v>0</v>
      </c>
      <c r="Q144" s="150">
        <f>'01'!Q144</f>
        <v>0</v>
      </c>
      <c r="R144" s="132">
        <f>'01'!R144</f>
        <v>0</v>
      </c>
      <c r="S144" s="132">
        <f>'01'!S144</f>
        <v>0</v>
      </c>
      <c r="T144" s="30"/>
      <c r="U144" s="30"/>
      <c r="V144" s="134"/>
    </row>
    <row r="145" spans="2:22" ht="13.2" customHeight="1" x14ac:dyDescent="0.25">
      <c r="B145" s="135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32">
        <f>'01'!N145</f>
        <v>0</v>
      </c>
      <c r="O145" s="132">
        <f>'01'!O145</f>
        <v>0</v>
      </c>
      <c r="P145" s="149">
        <f>'01'!P145</f>
        <v>0</v>
      </c>
      <c r="Q145" s="150">
        <f>'01'!Q145</f>
        <v>0</v>
      </c>
      <c r="R145" s="132">
        <f>'01'!R145</f>
        <v>0</v>
      </c>
      <c r="S145" s="132">
        <f>'01'!S145</f>
        <v>0</v>
      </c>
      <c r="T145" s="30"/>
      <c r="U145" s="30"/>
      <c r="V145" s="134"/>
    </row>
    <row r="146" spans="2:22" ht="13.2" customHeight="1" x14ac:dyDescent="0.25">
      <c r="B146" s="135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32">
        <f>'01'!N146</f>
        <v>0</v>
      </c>
      <c r="O146" s="132">
        <f>'01'!O146</f>
        <v>0</v>
      </c>
      <c r="P146" s="149">
        <f>'01'!P146</f>
        <v>0</v>
      </c>
      <c r="Q146" s="150">
        <f>'01'!Q146</f>
        <v>0</v>
      </c>
      <c r="R146" s="132">
        <f>'01'!R146</f>
        <v>0</v>
      </c>
      <c r="S146" s="132">
        <f>'01'!S146</f>
        <v>0</v>
      </c>
      <c r="T146" s="30"/>
      <c r="U146" s="30"/>
      <c r="V146" s="134"/>
    </row>
    <row r="147" spans="2:22" ht="13.2" customHeight="1" x14ac:dyDescent="0.25">
      <c r="B147" s="135"/>
      <c r="C147" s="141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2">
        <f>'01'!N147</f>
        <v>0</v>
      </c>
      <c r="O147" s="132">
        <f>'01'!O147</f>
        <v>0</v>
      </c>
      <c r="P147" s="149">
        <f>'01'!P147</f>
        <v>0</v>
      </c>
      <c r="Q147" s="150">
        <f>'01'!Q147</f>
        <v>0</v>
      </c>
      <c r="R147" s="132">
        <f>'01'!R147</f>
        <v>0</v>
      </c>
      <c r="S147" s="132">
        <f>'01'!S147</f>
        <v>0</v>
      </c>
      <c r="T147" s="30"/>
      <c r="U147" s="30"/>
      <c r="V147" s="134"/>
    </row>
    <row r="148" spans="2:22" customFormat="1" ht="13.2" customHeight="1" x14ac:dyDescent="0.3"/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s="105" customFormat="1" ht="18" customHeight="1" x14ac:dyDescent="0.3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s="54" customForma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400</v>
      </c>
      <c r="O153" s="40" t="s">
        <v>401</v>
      </c>
      <c r="P153" s="45">
        <v>16809437</v>
      </c>
      <c r="Q153" s="24" t="s">
        <v>27</v>
      </c>
      <c r="R153" s="41" t="s">
        <v>294</v>
      </c>
      <c r="S153" s="96" t="s">
        <v>295</v>
      </c>
      <c r="T153" s="46"/>
      <c r="U153" s="46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89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35" t="s">
        <v>319</v>
      </c>
      <c r="O157" s="36" t="s">
        <v>308</v>
      </c>
      <c r="P157" s="79">
        <v>5533503</v>
      </c>
      <c r="Q157" s="90">
        <v>6</v>
      </c>
      <c r="R157" s="35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22" t="s">
        <v>322</v>
      </c>
      <c r="O158" s="23" t="s">
        <v>305</v>
      </c>
      <c r="P158" s="69">
        <v>27181315</v>
      </c>
      <c r="Q158" s="81">
        <v>5</v>
      </c>
      <c r="R158" s="22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49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35" t="s">
        <v>326</v>
      </c>
      <c r="O160" s="36" t="s">
        <v>327</v>
      </c>
      <c r="P160" s="79">
        <v>9047753</v>
      </c>
      <c r="Q160" s="90">
        <v>6</v>
      </c>
      <c r="R160" s="35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9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0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35" t="s">
        <v>296</v>
      </c>
      <c r="O164" s="36" t="s">
        <v>297</v>
      </c>
      <c r="P164" s="71"/>
      <c r="Q164" s="83"/>
      <c r="R164" s="35" t="s">
        <v>309</v>
      </c>
      <c r="S164" s="93" t="s">
        <v>316</v>
      </c>
      <c r="T164" s="21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35"/>
      <c r="O165" s="36"/>
      <c r="P165" s="79"/>
      <c r="Q165" s="90"/>
      <c r="R165" s="35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1"/>
      <c r="O166" s="52"/>
      <c r="P166" s="80"/>
      <c r="Q166" s="91"/>
      <c r="R166" s="51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1"/>
      <c r="O167" s="52"/>
      <c r="P167" s="80"/>
      <c r="Q167" s="91"/>
      <c r="R167" s="51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ht="13.2" customHeight="1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ht="13.2" customHeight="1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ht="13.2" customHeight="1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ht="13.2" customHeight="1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ht="13.2" customHeight="1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ht="13.2" customHeight="1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ht="13.2" customHeight="1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ht="13.2" customHeight="1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honeticPr fontId="1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4CE3-8773-4F7C-8F8F-28C1AFDE654F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K15" sqref="K15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'02'!B2:M2+1</f>
        <v>45660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5.6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4.4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5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8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10A0-3284-4A61-964B-511BF52BA2A3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J16" sqref="J16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'03'!B2:M2+1</f>
        <v>45661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0A76-50D0-49BD-A792-DE7572D4AE22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N10" sqref="N10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'04'!B2:M2+1</f>
        <v>45662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3937-5FCA-4AA5-8148-A7EA69205E27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K11" sqref="K11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'05'!B2:M2+1</f>
        <v>45663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6A5C-85A1-44C6-8E5F-9CAA7AD781E1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N25" sqref="N25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'06'!B2:M2+1</f>
        <v>45664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7943-866B-40E7-9F60-AFA97F70E390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K23" sqref="K23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'07'!B2:M2+1</f>
        <v>45665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D07D-E670-4461-A7CB-F9E32C43BC84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J34" sqref="J34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'08'!B2:M2+1</f>
        <v>45666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F432-DCB8-47AD-9CA5-359EBA6726B4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'09'!B2:M2+1</f>
        <v>45667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092-9A79-4BE4-A689-C40F4A2977CD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'10'!B2:M2+1</f>
        <v>45668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7AA3-2F1A-448C-A32F-6FA90F0F25BD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'11'!B2:M2+1</f>
        <v>45669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B393-C0AE-4EB1-92A6-489FF596286E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'12'!B2:M2+1</f>
        <v>45670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AE43-8F5B-4000-A399-811754AE3203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'13'!B2:M2+1</f>
        <v>45671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721A-5AEA-4E9A-9907-9E00CEB4F1C2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'14'!B2:M2+1</f>
        <v>45672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D7D6-2505-4B40-A95E-ADB42145325B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'15'!B2:M2+1</f>
        <v>45673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CB4F-486D-4182-A337-D3B2199719B7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'16'!B2:M2+1</f>
        <v>45674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32D-3652-47F8-ACE8-E4316CB5F403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'17'!B2:M2+1</f>
        <v>45675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23B7-DF8D-477B-A4F1-6D2DB7EB6E34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'18'!B2:M2+1</f>
        <v>45676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6685-8D58-48E4-B755-B9099B7034DB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'19'!B2:M2+1</f>
        <v>45677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B6BB-DB4F-4C5E-A0FD-66FFE0613504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'20'!B2:M2+1</f>
        <v>45678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5BFF-1EB4-4D95-857B-C3B71DD79152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'21'!B2:M2+1</f>
        <v>45679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B363-3607-4969-BD96-8FF36CA634B2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'22'!B2:M2+1</f>
        <v>45680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2E3F-6F97-4221-B54D-174EAA8BFB47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'23'!B2:M2+1</f>
        <v>45681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5FB2-26CC-4FFF-88CE-D97B44DB91A7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'24'!B2:M2+1</f>
        <v>45682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E122-1350-4868-BAC9-8C026146E7B8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'25'!B2:M2+1</f>
        <v>45683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72E4-1D68-4247-B3E0-DD08D22C17F9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'26'!B2:M2+1</f>
        <v>45684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4088-FBFF-4EB0-8828-9DE438BEFC6B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'27'!B2:M2+1</f>
        <v>45685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E8C4-9296-45CB-9AD5-A1718B41E9F1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'28'!B2:M2+1</f>
        <v>45686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90F7-F176-4828-8327-DDE79F59B412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'29'!B2:M2+1</f>
        <v>45687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A1E4-CBA3-4F6F-87ED-AA6E155AA616}">
  <dimension ref="B1:V177"/>
  <sheetViews>
    <sheetView showGridLines="0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G8" sqref="G8"/>
    </sheetView>
  </sheetViews>
  <sheetFormatPr baseColWidth="10" defaultColWidth="11.44140625" defaultRowHeight="13.2" x14ac:dyDescent="0.25"/>
  <cols>
    <col min="1" max="1" width="5" style="7" customWidth="1"/>
    <col min="2" max="2" width="7" style="7" bestFit="1" customWidth="1"/>
    <col min="3" max="3" width="7.33203125" style="7" bestFit="1" customWidth="1"/>
    <col min="4" max="4" width="7" style="7" bestFit="1" customWidth="1"/>
    <col min="5" max="5" width="7.33203125" style="7" bestFit="1" customWidth="1"/>
    <col min="6" max="6" width="7" style="7" bestFit="1" customWidth="1"/>
    <col min="7" max="7" width="7.33203125" style="7" bestFit="1" customWidth="1"/>
    <col min="8" max="8" width="7" style="7" bestFit="1" customWidth="1"/>
    <col min="9" max="9" width="7.33203125" style="7" bestFit="1" customWidth="1"/>
    <col min="10" max="10" width="7" style="7" bestFit="1" customWidth="1"/>
    <col min="11" max="11" width="7.33203125" style="7" bestFit="1" customWidth="1"/>
    <col min="12" max="12" width="7" style="7" bestFit="1" customWidth="1"/>
    <col min="13" max="13" width="7.33203125" style="7" bestFit="1" customWidth="1"/>
    <col min="14" max="14" width="25" style="54" bestFit="1" customWidth="1"/>
    <col min="15" max="15" width="24.6640625" style="7" bestFit="1" customWidth="1"/>
    <col min="16" max="16" width="10.109375" style="7" bestFit="1" customWidth="1"/>
    <col min="17" max="17" width="5.6640625" style="54" bestFit="1" customWidth="1"/>
    <col min="18" max="18" width="35" style="7" bestFit="1" customWidth="1"/>
    <col min="19" max="19" width="19.44140625" style="101" bestFit="1" customWidth="1"/>
    <col min="20" max="20" width="16" style="33" bestFit="1" customWidth="1"/>
    <col min="21" max="21" width="13.6640625" style="33" customWidth="1"/>
    <col min="22" max="22" width="61" style="7" customWidth="1"/>
    <col min="23" max="27" width="11.44140625" style="7"/>
    <col min="28" max="28" width="17.44140625" style="7" customWidth="1"/>
    <col min="29" max="16384" width="11.44140625" style="7"/>
  </cols>
  <sheetData>
    <row r="1" spans="2:22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4"/>
      <c r="Q1" s="5"/>
      <c r="R1" s="4"/>
      <c r="S1" s="4"/>
      <c r="T1" s="4"/>
      <c r="U1" s="4"/>
      <c r="V1" s="6"/>
    </row>
    <row r="2" spans="2:22" ht="24" customHeight="1" x14ac:dyDescent="0.25">
      <c r="B2" s="151">
        <f>'30'!B2:M2+1</f>
        <v>45688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8"/>
      <c r="O2" s="8"/>
      <c r="P2" s="9"/>
      <c r="Q2" s="9"/>
      <c r="R2" s="9"/>
      <c r="S2" s="10"/>
      <c r="T2" s="11"/>
      <c r="U2" s="11"/>
      <c r="V2" s="6"/>
    </row>
    <row r="3" spans="2:2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2"/>
      <c r="O3" s="3"/>
      <c r="P3" s="4"/>
      <c r="Q3" s="5"/>
      <c r="R3" s="4"/>
      <c r="S3" s="4"/>
      <c r="T3" s="4"/>
      <c r="U3" s="4"/>
      <c r="V3" s="6"/>
    </row>
    <row r="4" spans="2:22" ht="21" x14ac:dyDescent="0.4">
      <c r="B4" s="152" t="s">
        <v>0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06"/>
      <c r="S4" s="106"/>
      <c r="T4" s="106"/>
      <c r="U4" s="13"/>
      <c r="V4" s="6"/>
    </row>
    <row r="5" spans="2:22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6"/>
      <c r="P5" s="14"/>
      <c r="Q5" s="15"/>
      <c r="R5" s="14"/>
      <c r="S5" s="17"/>
      <c r="T5" s="14"/>
      <c r="U5" s="14"/>
      <c r="V5" s="6"/>
    </row>
    <row r="6" spans="2:22" s="105" customFormat="1" ht="18" customHeight="1" x14ac:dyDescent="0.3">
      <c r="B6" s="153" t="s">
        <v>1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5"/>
      <c r="N6" s="18"/>
      <c r="O6" s="103"/>
      <c r="P6" s="19"/>
      <c r="Q6" s="18"/>
      <c r="R6" s="19"/>
      <c r="S6" s="19"/>
      <c r="T6" s="156" t="s">
        <v>339</v>
      </c>
      <c r="U6" s="156"/>
      <c r="V6" s="104"/>
    </row>
    <row r="7" spans="2:22" s="54" customFormat="1" x14ac:dyDescent="0.25">
      <c r="B7" s="20" t="s">
        <v>338</v>
      </c>
      <c r="C7" s="20" t="s">
        <v>337</v>
      </c>
      <c r="D7" s="20" t="s">
        <v>338</v>
      </c>
      <c r="E7" s="20" t="s">
        <v>337</v>
      </c>
      <c r="F7" s="20" t="s">
        <v>338</v>
      </c>
      <c r="G7" s="20" t="s">
        <v>337</v>
      </c>
      <c r="H7" s="20" t="s">
        <v>338</v>
      </c>
      <c r="I7" s="20" t="s">
        <v>337</v>
      </c>
      <c r="J7" s="20" t="s">
        <v>338</v>
      </c>
      <c r="K7" s="20" t="s">
        <v>337</v>
      </c>
      <c r="L7" s="20" t="s">
        <v>338</v>
      </c>
      <c r="M7" s="20" t="s">
        <v>337</v>
      </c>
      <c r="N7" s="107" t="s">
        <v>307</v>
      </c>
      <c r="O7" s="107" t="s">
        <v>2</v>
      </c>
      <c r="P7" s="20" t="s">
        <v>3</v>
      </c>
      <c r="Q7" s="20" t="s">
        <v>4</v>
      </c>
      <c r="R7" s="20" t="s">
        <v>5</v>
      </c>
      <c r="S7" s="20" t="s">
        <v>6</v>
      </c>
      <c r="T7" s="20" t="s">
        <v>340</v>
      </c>
      <c r="U7" s="20" t="s">
        <v>6</v>
      </c>
      <c r="V7" s="102" t="s">
        <v>7</v>
      </c>
    </row>
    <row r="8" spans="2:22" ht="13.2" customHeight="1" x14ac:dyDescent="0.25">
      <c r="B8" s="57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22" t="s">
        <v>8</v>
      </c>
      <c r="O8" s="23" t="s">
        <v>9</v>
      </c>
      <c r="P8" s="69">
        <v>7009791</v>
      </c>
      <c r="Q8" s="81">
        <v>5</v>
      </c>
      <c r="R8" s="23" t="s">
        <v>10</v>
      </c>
      <c r="S8" s="92" t="s">
        <v>11</v>
      </c>
      <c r="T8" s="24" t="s">
        <v>341</v>
      </c>
      <c r="U8" s="24"/>
      <c r="V8" s="25"/>
    </row>
    <row r="9" spans="2:22" ht="13.2" customHeight="1" x14ac:dyDescent="0.25">
      <c r="B9" s="57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108" t="s">
        <v>12</v>
      </c>
      <c r="O9" s="108" t="s">
        <v>13</v>
      </c>
      <c r="P9" s="28">
        <v>13739164</v>
      </c>
      <c r="Q9" s="82">
        <v>3</v>
      </c>
      <c r="R9" s="108" t="s">
        <v>14</v>
      </c>
      <c r="S9" s="93" t="s">
        <v>15</v>
      </c>
      <c r="T9" s="26"/>
      <c r="U9" s="26"/>
      <c r="V9" s="27"/>
    </row>
    <row r="10" spans="2:22" ht="13.2" customHeight="1" x14ac:dyDescent="0.25">
      <c r="B10" s="59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22" t="s">
        <v>16</v>
      </c>
      <c r="O10" s="23" t="s">
        <v>17</v>
      </c>
      <c r="P10" s="69">
        <v>15734629</v>
      </c>
      <c r="Q10" s="81">
        <v>6</v>
      </c>
      <c r="R10" s="23" t="s">
        <v>18</v>
      </c>
      <c r="S10" s="92" t="s">
        <v>15</v>
      </c>
      <c r="T10" s="24" t="s">
        <v>342</v>
      </c>
      <c r="U10" s="24"/>
      <c r="V10" s="25"/>
    </row>
    <row r="11" spans="2:22" ht="13.2" customHeight="1" x14ac:dyDescent="0.25">
      <c r="B11" s="59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109" t="s">
        <v>19</v>
      </c>
      <c r="O11" s="108" t="s">
        <v>20</v>
      </c>
      <c r="P11" s="34">
        <v>15847284</v>
      </c>
      <c r="Q11" s="82">
        <v>8</v>
      </c>
      <c r="R11" s="108" t="s">
        <v>21</v>
      </c>
      <c r="S11" s="93" t="s">
        <v>15</v>
      </c>
      <c r="T11" s="26"/>
      <c r="U11" s="26"/>
      <c r="V11" s="27"/>
    </row>
    <row r="12" spans="2:22" ht="13.2" customHeight="1" x14ac:dyDescent="0.25">
      <c r="B12" s="59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109" t="s">
        <v>22</v>
      </c>
      <c r="O12" s="108" t="s">
        <v>23</v>
      </c>
      <c r="P12" s="34">
        <v>15285593</v>
      </c>
      <c r="Q12" s="82">
        <v>1</v>
      </c>
      <c r="R12" s="108" t="s">
        <v>24</v>
      </c>
      <c r="S12" s="93" t="s">
        <v>15</v>
      </c>
      <c r="T12" s="26" t="s">
        <v>343</v>
      </c>
      <c r="U12" s="26"/>
      <c r="V12" s="27"/>
    </row>
    <row r="13" spans="2:22" ht="13.2" customHeight="1" x14ac:dyDescent="0.25">
      <c r="B13" s="59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10" t="s">
        <v>25</v>
      </c>
      <c r="O13" s="110" t="s">
        <v>26</v>
      </c>
      <c r="P13" s="28">
        <v>10106820</v>
      </c>
      <c r="Q13" s="82" t="s">
        <v>27</v>
      </c>
      <c r="R13" s="110" t="s">
        <v>28</v>
      </c>
      <c r="S13" s="93" t="s">
        <v>29</v>
      </c>
      <c r="T13" s="26" t="s">
        <v>344</v>
      </c>
      <c r="U13" s="21"/>
      <c r="V13" s="27"/>
    </row>
    <row r="14" spans="2:22" ht="13.2" customHeight="1" x14ac:dyDescent="0.25">
      <c r="B14" s="59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109" t="s">
        <v>30</v>
      </c>
      <c r="O14" s="108" t="s">
        <v>31</v>
      </c>
      <c r="P14" s="34">
        <v>20900423</v>
      </c>
      <c r="Q14" s="82">
        <v>2</v>
      </c>
      <c r="R14" s="108" t="s">
        <v>32</v>
      </c>
      <c r="S14" s="93" t="s">
        <v>15</v>
      </c>
      <c r="T14" s="26"/>
      <c r="U14" s="26"/>
      <c r="V14" s="27"/>
    </row>
    <row r="15" spans="2:22" ht="13.2" customHeight="1" x14ac:dyDescent="0.25">
      <c r="B15" s="59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109" t="s">
        <v>33</v>
      </c>
      <c r="O15" s="108" t="s">
        <v>34</v>
      </c>
      <c r="P15" s="34">
        <v>10772508</v>
      </c>
      <c r="Q15" s="82">
        <v>3</v>
      </c>
      <c r="R15" s="108" t="s">
        <v>35</v>
      </c>
      <c r="S15" s="93" t="s">
        <v>15</v>
      </c>
      <c r="T15" s="30"/>
      <c r="U15" s="30"/>
      <c r="V15" s="27"/>
    </row>
    <row r="16" spans="2:22" ht="13.2" customHeight="1" x14ac:dyDescent="0.25">
      <c r="B16" s="59"/>
      <c r="C16" s="59"/>
      <c r="D16" s="60"/>
      <c r="E16" s="57"/>
      <c r="F16" s="60"/>
      <c r="G16" s="60"/>
      <c r="H16" s="60"/>
      <c r="I16" s="60"/>
      <c r="J16" s="60"/>
      <c r="K16" s="60"/>
      <c r="L16" s="60"/>
      <c r="M16" s="60"/>
      <c r="N16" s="109" t="s">
        <v>37</v>
      </c>
      <c r="O16" s="108" t="s">
        <v>345</v>
      </c>
      <c r="P16" s="34">
        <v>13967856</v>
      </c>
      <c r="Q16" s="82">
        <v>7</v>
      </c>
      <c r="R16" s="108" t="s">
        <v>39</v>
      </c>
      <c r="S16" s="93" t="s">
        <v>15</v>
      </c>
      <c r="T16" s="30" t="s">
        <v>346</v>
      </c>
      <c r="U16" s="30"/>
      <c r="V16" s="27"/>
    </row>
    <row r="17" spans="2:22" ht="13.2" customHeight="1" x14ac:dyDescent="0.25">
      <c r="B17" s="59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109" t="s">
        <v>40</v>
      </c>
      <c r="O17" s="108" t="s">
        <v>41</v>
      </c>
      <c r="P17" s="34">
        <v>15301665</v>
      </c>
      <c r="Q17" s="82">
        <v>8</v>
      </c>
      <c r="R17" s="108" t="s">
        <v>42</v>
      </c>
      <c r="S17" s="93" t="s">
        <v>15</v>
      </c>
      <c r="T17" s="30"/>
      <c r="U17" s="29"/>
      <c r="V17" s="27"/>
    </row>
    <row r="18" spans="2:22" ht="13.2" customHeight="1" x14ac:dyDescent="0.25">
      <c r="B18" s="59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109" t="s">
        <v>43</v>
      </c>
      <c r="O18" s="108" t="s">
        <v>44</v>
      </c>
      <c r="P18" s="34">
        <v>12714471</v>
      </c>
      <c r="Q18" s="82">
        <v>0</v>
      </c>
      <c r="R18" s="108" t="s">
        <v>24</v>
      </c>
      <c r="S18" s="93" t="s">
        <v>15</v>
      </c>
      <c r="T18" s="30" t="s">
        <v>347</v>
      </c>
      <c r="U18" s="30"/>
      <c r="V18" s="27"/>
    </row>
    <row r="19" spans="2:22" ht="13.2" customHeight="1" x14ac:dyDescent="0.25">
      <c r="B19" s="59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109" t="s">
        <v>45</v>
      </c>
      <c r="O19" s="108" t="s">
        <v>46</v>
      </c>
      <c r="P19" s="34">
        <v>19367869</v>
      </c>
      <c r="Q19" s="82">
        <v>6</v>
      </c>
      <c r="R19" s="108" t="s">
        <v>47</v>
      </c>
      <c r="S19" s="93" t="s">
        <v>15</v>
      </c>
      <c r="T19" s="30" t="s">
        <v>348</v>
      </c>
      <c r="U19" s="30"/>
      <c r="V19" s="27"/>
    </row>
    <row r="20" spans="2:22" ht="13.2" customHeight="1" x14ac:dyDescent="0.25"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109" t="s">
        <v>48</v>
      </c>
      <c r="O20" s="108" t="s">
        <v>49</v>
      </c>
      <c r="P20" s="34">
        <v>10587634</v>
      </c>
      <c r="Q20" s="82">
        <v>3</v>
      </c>
      <c r="R20" s="108" t="s">
        <v>50</v>
      </c>
      <c r="S20" s="93" t="s">
        <v>29</v>
      </c>
      <c r="T20" s="30" t="s">
        <v>349</v>
      </c>
      <c r="U20" s="30"/>
      <c r="V20" s="27"/>
    </row>
    <row r="21" spans="2:22" ht="13.2" customHeight="1" x14ac:dyDescent="0.25"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10" t="s">
        <v>51</v>
      </c>
      <c r="O21" s="110" t="s">
        <v>52</v>
      </c>
      <c r="P21" s="28">
        <v>20293903</v>
      </c>
      <c r="Q21" s="82">
        <v>1</v>
      </c>
      <c r="R21" s="110" t="s">
        <v>53</v>
      </c>
      <c r="S21" s="93" t="s">
        <v>15</v>
      </c>
      <c r="T21" s="26"/>
      <c r="U21" s="26"/>
      <c r="V21" s="27"/>
    </row>
    <row r="22" spans="2:22" ht="13.2" customHeight="1" x14ac:dyDescent="0.25">
      <c r="B22" s="59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110" t="s">
        <v>298</v>
      </c>
      <c r="O22" s="110" t="s">
        <v>299</v>
      </c>
      <c r="P22" s="28">
        <v>17889059</v>
      </c>
      <c r="Q22" s="82" t="s">
        <v>27</v>
      </c>
      <c r="R22" s="110" t="s">
        <v>312</v>
      </c>
      <c r="S22" s="93" t="s">
        <v>15</v>
      </c>
      <c r="T22" s="26"/>
      <c r="U22" s="26"/>
      <c r="V22" s="27"/>
    </row>
    <row r="23" spans="2:22" ht="13.2" customHeight="1" x14ac:dyDescent="0.25">
      <c r="B23" s="59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109" t="s">
        <v>54</v>
      </c>
      <c r="O23" s="108" t="s">
        <v>55</v>
      </c>
      <c r="P23" s="34">
        <v>18802330</v>
      </c>
      <c r="Q23" s="82">
        <v>4</v>
      </c>
      <c r="R23" s="108" t="s">
        <v>56</v>
      </c>
      <c r="S23" s="93" t="s">
        <v>57</v>
      </c>
      <c r="T23" s="30"/>
      <c r="U23" s="30"/>
      <c r="V23" s="27"/>
    </row>
    <row r="24" spans="2:22" ht="13.2" customHeight="1" x14ac:dyDescent="0.25">
      <c r="B24" s="59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110" t="s">
        <v>58</v>
      </c>
      <c r="O24" s="110" t="s">
        <v>59</v>
      </c>
      <c r="P24" s="28">
        <v>13659758</v>
      </c>
      <c r="Q24" s="82">
        <v>2</v>
      </c>
      <c r="R24" s="110" t="s">
        <v>42</v>
      </c>
      <c r="S24" s="93" t="s">
        <v>15</v>
      </c>
      <c r="T24" s="32"/>
      <c r="U24" s="32"/>
      <c r="V24" s="27"/>
    </row>
    <row r="25" spans="2:22" ht="13.2" customHeight="1" x14ac:dyDescent="0.25">
      <c r="B25" s="59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109" t="s">
        <v>60</v>
      </c>
      <c r="O25" s="108" t="s">
        <v>61</v>
      </c>
      <c r="P25" s="34">
        <v>9539333</v>
      </c>
      <c r="Q25" s="82">
        <v>0</v>
      </c>
      <c r="R25" s="108" t="s">
        <v>32</v>
      </c>
      <c r="S25" s="93" t="s">
        <v>15</v>
      </c>
      <c r="U25" s="30"/>
      <c r="V25" s="27"/>
    </row>
    <row r="26" spans="2:22" ht="13.2" customHeight="1" x14ac:dyDescent="0.25">
      <c r="B26" s="59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109" t="s">
        <v>62</v>
      </c>
      <c r="O26" s="108" t="s">
        <v>63</v>
      </c>
      <c r="P26" s="34">
        <v>20773510</v>
      </c>
      <c r="Q26" s="82">
        <v>8</v>
      </c>
      <c r="R26" s="108" t="s">
        <v>21</v>
      </c>
      <c r="S26" s="93" t="s">
        <v>15</v>
      </c>
      <c r="T26" s="24" t="s">
        <v>350</v>
      </c>
      <c r="U26" s="26"/>
      <c r="V26" s="27"/>
    </row>
    <row r="27" spans="2:22" ht="13.2" customHeight="1" x14ac:dyDescent="0.25">
      <c r="B27" s="59"/>
      <c r="C27" s="59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09" t="s">
        <v>64</v>
      </c>
      <c r="O27" s="108" t="s">
        <v>65</v>
      </c>
      <c r="P27" s="34">
        <v>13407096</v>
      </c>
      <c r="Q27" s="82" t="s">
        <v>27</v>
      </c>
      <c r="R27" s="108" t="s">
        <v>42</v>
      </c>
      <c r="S27" s="93" t="s">
        <v>15</v>
      </c>
      <c r="T27" s="26"/>
      <c r="U27" s="26"/>
      <c r="V27" s="27"/>
    </row>
    <row r="28" spans="2:22" ht="13.2" customHeight="1" x14ac:dyDescent="0.25">
      <c r="B28" s="59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109" t="s">
        <v>66</v>
      </c>
      <c r="O28" s="108" t="s">
        <v>67</v>
      </c>
      <c r="P28" s="34">
        <v>19962921</v>
      </c>
      <c r="Q28" s="82">
        <v>2</v>
      </c>
      <c r="R28" s="108" t="s">
        <v>56</v>
      </c>
      <c r="S28" s="93" t="s">
        <v>15</v>
      </c>
      <c r="T28" s="33" t="s">
        <v>351</v>
      </c>
      <c r="U28" s="56"/>
      <c r="V28" s="55"/>
    </row>
    <row r="29" spans="2:22" ht="13.2" customHeight="1" x14ac:dyDescent="0.25">
      <c r="B29" s="59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109" t="s">
        <v>66</v>
      </c>
      <c r="O29" s="108" t="s">
        <v>68</v>
      </c>
      <c r="P29" s="34">
        <v>18801412</v>
      </c>
      <c r="Q29" s="82">
        <v>7</v>
      </c>
      <c r="R29" s="108" t="s">
        <v>56</v>
      </c>
      <c r="S29" s="93" t="s">
        <v>15</v>
      </c>
      <c r="T29" s="26"/>
      <c r="U29" s="26"/>
      <c r="V29" s="27"/>
    </row>
    <row r="30" spans="2:22" ht="13.2" customHeight="1" x14ac:dyDescent="0.25">
      <c r="B30" s="59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109" t="s">
        <v>69</v>
      </c>
      <c r="O30" s="108" t="s">
        <v>70</v>
      </c>
      <c r="P30" s="34">
        <v>9929269</v>
      </c>
      <c r="Q30" s="82">
        <v>5</v>
      </c>
      <c r="R30" s="108" t="s">
        <v>71</v>
      </c>
      <c r="S30" s="93" t="s">
        <v>15</v>
      </c>
      <c r="T30" s="26" t="s">
        <v>352</v>
      </c>
      <c r="U30" s="26"/>
      <c r="V30" s="27"/>
    </row>
    <row r="31" spans="2:22" ht="13.2" customHeight="1" x14ac:dyDescent="0.25">
      <c r="B31" s="59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109" t="s">
        <v>72</v>
      </c>
      <c r="O31" s="109" t="s">
        <v>73</v>
      </c>
      <c r="P31" s="70">
        <v>13404337</v>
      </c>
      <c r="Q31" s="82">
        <v>7</v>
      </c>
      <c r="R31" s="109" t="s">
        <v>42</v>
      </c>
      <c r="S31" s="93" t="s">
        <v>15</v>
      </c>
      <c r="U31" s="29"/>
      <c r="V31" s="27"/>
    </row>
    <row r="32" spans="2:22" ht="13.2" customHeight="1" x14ac:dyDescent="0.25">
      <c r="B32" s="59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09" t="s">
        <v>72</v>
      </c>
      <c r="O32" s="109" t="s">
        <v>74</v>
      </c>
      <c r="P32" s="70">
        <v>12340833</v>
      </c>
      <c r="Q32" s="82">
        <v>0</v>
      </c>
      <c r="R32" s="109" t="s">
        <v>75</v>
      </c>
      <c r="S32" s="93" t="s">
        <v>15</v>
      </c>
      <c r="T32" s="30"/>
      <c r="U32" s="30"/>
      <c r="V32" s="27"/>
    </row>
    <row r="33" spans="2:22" ht="13.2" customHeight="1" x14ac:dyDescent="0.25">
      <c r="B33" s="59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109" t="s">
        <v>76</v>
      </c>
      <c r="O33" s="108" t="s">
        <v>77</v>
      </c>
      <c r="P33" s="34">
        <v>19269719</v>
      </c>
      <c r="Q33" s="82">
        <v>0</v>
      </c>
      <c r="R33" s="108" t="s">
        <v>75</v>
      </c>
      <c r="S33" s="93" t="s">
        <v>15</v>
      </c>
      <c r="T33" s="26"/>
      <c r="U33" s="26"/>
      <c r="V33" s="27"/>
    </row>
    <row r="34" spans="2:22" ht="13.2" customHeight="1" x14ac:dyDescent="0.25">
      <c r="B34" s="59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09" t="s">
        <v>78</v>
      </c>
      <c r="O34" s="109" t="s">
        <v>79</v>
      </c>
      <c r="P34" s="70">
        <v>15263602</v>
      </c>
      <c r="Q34" s="82">
        <v>4</v>
      </c>
      <c r="R34" s="109" t="s">
        <v>75</v>
      </c>
      <c r="S34" s="93" t="s">
        <v>15</v>
      </c>
      <c r="T34" s="30"/>
      <c r="U34" s="30"/>
      <c r="V34" s="27"/>
    </row>
    <row r="35" spans="2:22" ht="13.2" customHeight="1" x14ac:dyDescent="0.25">
      <c r="B35" s="59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109" t="s">
        <v>78</v>
      </c>
      <c r="O35" s="108" t="s">
        <v>80</v>
      </c>
      <c r="P35" s="34">
        <v>13159173</v>
      </c>
      <c r="Q35" s="82" t="s">
        <v>27</v>
      </c>
      <c r="R35" s="108" t="s">
        <v>42</v>
      </c>
      <c r="S35" s="93" t="s">
        <v>15</v>
      </c>
      <c r="T35" s="26"/>
      <c r="U35" s="26"/>
      <c r="V35" s="27"/>
    </row>
    <row r="36" spans="2:22" ht="13.2" customHeight="1" x14ac:dyDescent="0.25">
      <c r="B36" s="59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109" t="s">
        <v>81</v>
      </c>
      <c r="O36" s="108" t="s">
        <v>82</v>
      </c>
      <c r="P36" s="34">
        <v>20625206</v>
      </c>
      <c r="Q36" s="82">
        <v>5</v>
      </c>
      <c r="R36" s="108" t="s">
        <v>83</v>
      </c>
      <c r="S36" s="93" t="s">
        <v>15</v>
      </c>
      <c r="T36" s="26"/>
      <c r="U36" s="26"/>
      <c r="V36" s="27"/>
    </row>
    <row r="37" spans="2:22" ht="13.2" customHeight="1" x14ac:dyDescent="0.25">
      <c r="B37" s="59"/>
      <c r="C37" s="59"/>
      <c r="D37" s="60"/>
      <c r="E37" s="60"/>
      <c r="F37" s="59"/>
      <c r="G37" s="60"/>
      <c r="H37" s="60"/>
      <c r="I37" s="60"/>
      <c r="J37" s="60"/>
      <c r="K37" s="60"/>
      <c r="L37" s="60"/>
      <c r="M37" s="60"/>
      <c r="N37" s="109" t="s">
        <v>84</v>
      </c>
      <c r="O37" s="109" t="s">
        <v>85</v>
      </c>
      <c r="P37" s="70">
        <v>9871599</v>
      </c>
      <c r="Q37" s="82">
        <v>1</v>
      </c>
      <c r="R37" s="109" t="s">
        <v>86</v>
      </c>
      <c r="S37" s="93" t="s">
        <v>15</v>
      </c>
      <c r="T37" s="26"/>
      <c r="U37" s="26"/>
      <c r="V37" s="27"/>
    </row>
    <row r="38" spans="2:22" ht="13.2" customHeight="1" x14ac:dyDescent="0.25">
      <c r="B38" s="59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109" t="s">
        <v>87</v>
      </c>
      <c r="O38" s="108" t="s">
        <v>88</v>
      </c>
      <c r="P38" s="34">
        <v>12215854</v>
      </c>
      <c r="Q38" s="82">
        <v>3</v>
      </c>
      <c r="R38" s="108" t="s">
        <v>42</v>
      </c>
      <c r="S38" s="93" t="s">
        <v>15</v>
      </c>
      <c r="T38" s="30"/>
      <c r="U38" s="30"/>
      <c r="V38" s="27"/>
    </row>
    <row r="39" spans="2:22" ht="13.2" customHeight="1" x14ac:dyDescent="0.25">
      <c r="B39" s="59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109" t="s">
        <v>89</v>
      </c>
      <c r="O39" s="108" t="s">
        <v>90</v>
      </c>
      <c r="P39" s="34">
        <v>18287788</v>
      </c>
      <c r="Q39" s="82">
        <v>3</v>
      </c>
      <c r="R39" s="108" t="s">
        <v>91</v>
      </c>
      <c r="S39" s="93" t="s">
        <v>15</v>
      </c>
      <c r="T39" s="30" t="s">
        <v>353</v>
      </c>
      <c r="U39" s="30"/>
      <c r="V39" s="27"/>
    </row>
    <row r="40" spans="2:22" ht="13.2" customHeight="1" x14ac:dyDescent="0.25">
      <c r="B40" s="59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109" t="s">
        <v>92</v>
      </c>
      <c r="O40" s="108" t="s">
        <v>93</v>
      </c>
      <c r="P40" s="34">
        <v>26572030</v>
      </c>
      <c r="Q40" s="82">
        <v>7</v>
      </c>
      <c r="R40" s="108" t="s">
        <v>75</v>
      </c>
      <c r="S40" s="93" t="s">
        <v>57</v>
      </c>
      <c r="T40" s="30"/>
      <c r="U40" s="30"/>
      <c r="V40" s="27"/>
    </row>
    <row r="41" spans="2:22" ht="13.2" customHeight="1" x14ac:dyDescent="0.25">
      <c r="B41" s="59"/>
      <c r="C41" s="59"/>
      <c r="D41" s="60"/>
      <c r="E41" s="57"/>
      <c r="F41" s="60"/>
      <c r="G41" s="60"/>
      <c r="H41" s="60"/>
      <c r="I41" s="60"/>
      <c r="J41" s="60"/>
      <c r="K41" s="60"/>
      <c r="L41" s="60"/>
      <c r="M41" s="60"/>
      <c r="N41" s="110" t="s">
        <v>94</v>
      </c>
      <c r="O41" s="110" t="s">
        <v>95</v>
      </c>
      <c r="P41" s="28">
        <v>18735696</v>
      </c>
      <c r="Q41" s="82">
        <v>2</v>
      </c>
      <c r="R41" s="110" t="s">
        <v>28</v>
      </c>
      <c r="S41" s="93" t="s">
        <v>57</v>
      </c>
      <c r="T41" s="26" t="s">
        <v>354</v>
      </c>
      <c r="U41" s="26"/>
      <c r="V41" s="27"/>
    </row>
    <row r="42" spans="2:22" ht="13.2" customHeight="1" x14ac:dyDescent="0.25">
      <c r="B42" s="59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10" t="s">
        <v>313</v>
      </c>
      <c r="O42" s="110" t="s">
        <v>314</v>
      </c>
      <c r="P42" s="28">
        <v>10264143</v>
      </c>
      <c r="Q42" s="82">
        <v>4</v>
      </c>
      <c r="R42" s="110" t="s">
        <v>120</v>
      </c>
      <c r="S42" s="93" t="s">
        <v>15</v>
      </c>
      <c r="T42" s="26" t="s">
        <v>355</v>
      </c>
      <c r="U42" s="21"/>
      <c r="V42" s="27"/>
    </row>
    <row r="43" spans="2:22" ht="13.2" customHeight="1" x14ac:dyDescent="0.25">
      <c r="B43" s="59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110" t="s">
        <v>96</v>
      </c>
      <c r="O43" s="110" t="s">
        <v>97</v>
      </c>
      <c r="P43" s="28">
        <v>17964277</v>
      </c>
      <c r="Q43" s="82">
        <v>8</v>
      </c>
      <c r="R43" s="110" t="s">
        <v>75</v>
      </c>
      <c r="S43" s="93" t="s">
        <v>15</v>
      </c>
      <c r="T43" s="26"/>
      <c r="U43" s="21"/>
      <c r="V43" s="27"/>
    </row>
    <row r="44" spans="2:22" ht="13.2" customHeight="1" x14ac:dyDescent="0.25">
      <c r="B44" s="59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109" t="s">
        <v>98</v>
      </c>
      <c r="O44" s="108" t="s">
        <v>99</v>
      </c>
      <c r="P44" s="34">
        <v>15516264</v>
      </c>
      <c r="Q44" s="82">
        <v>3</v>
      </c>
      <c r="R44" s="108" t="s">
        <v>42</v>
      </c>
      <c r="S44" s="93" t="s">
        <v>15</v>
      </c>
      <c r="T44" s="30"/>
      <c r="U44" s="30"/>
      <c r="V44" s="27"/>
    </row>
    <row r="45" spans="2:22" ht="13.2" customHeight="1" x14ac:dyDescent="0.25">
      <c r="B45" s="59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109" t="s">
        <v>98</v>
      </c>
      <c r="O45" s="108" t="s">
        <v>100</v>
      </c>
      <c r="P45" s="34">
        <v>16975740</v>
      </c>
      <c r="Q45" s="82">
        <v>2</v>
      </c>
      <c r="R45" s="108" t="s">
        <v>75</v>
      </c>
      <c r="S45" s="93" t="s">
        <v>15</v>
      </c>
      <c r="T45" s="30"/>
      <c r="U45" s="30"/>
      <c r="V45" s="27"/>
    </row>
    <row r="46" spans="2:22" ht="13.2" customHeight="1" x14ac:dyDescent="0.25">
      <c r="B46" s="59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109" t="s">
        <v>101</v>
      </c>
      <c r="O46" s="108" t="s">
        <v>102</v>
      </c>
      <c r="P46" s="34">
        <v>8481790</v>
      </c>
      <c r="Q46" s="82">
        <v>2</v>
      </c>
      <c r="R46" s="108" t="s">
        <v>75</v>
      </c>
      <c r="S46" s="93" t="s">
        <v>15</v>
      </c>
      <c r="T46" s="30"/>
      <c r="U46" s="30"/>
      <c r="V46" s="27"/>
    </row>
    <row r="47" spans="2:22" ht="13.2" customHeight="1" x14ac:dyDescent="0.25">
      <c r="B47" s="59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09" t="s">
        <v>356</v>
      </c>
      <c r="O47" s="108" t="s">
        <v>357</v>
      </c>
      <c r="P47" s="34">
        <v>19247530</v>
      </c>
      <c r="Q47" s="82">
        <v>9</v>
      </c>
      <c r="R47" s="108" t="s">
        <v>280</v>
      </c>
      <c r="S47" s="93" t="s">
        <v>15</v>
      </c>
      <c r="T47" s="30"/>
      <c r="U47" s="30"/>
      <c r="V47" s="27"/>
    </row>
    <row r="48" spans="2:22" ht="13.2" customHeight="1" x14ac:dyDescent="0.25">
      <c r="B48" s="59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109" t="s">
        <v>103</v>
      </c>
      <c r="O48" s="108" t="s">
        <v>104</v>
      </c>
      <c r="P48" s="34">
        <v>8801613</v>
      </c>
      <c r="Q48" s="82">
        <v>0</v>
      </c>
      <c r="R48" s="108" t="s">
        <v>75</v>
      </c>
      <c r="S48" s="93" t="s">
        <v>15</v>
      </c>
      <c r="T48" s="30"/>
      <c r="U48" s="30"/>
      <c r="V48" s="27"/>
    </row>
    <row r="49" spans="2:22" ht="13.2" customHeight="1" x14ac:dyDescent="0.25">
      <c r="B49" s="59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109" t="s">
        <v>105</v>
      </c>
      <c r="O49" s="108" t="s">
        <v>106</v>
      </c>
      <c r="P49" s="34">
        <v>13967493</v>
      </c>
      <c r="Q49" s="82">
        <v>6</v>
      </c>
      <c r="R49" s="108" t="s">
        <v>75</v>
      </c>
      <c r="S49" s="93" t="s">
        <v>15</v>
      </c>
      <c r="T49" s="26"/>
      <c r="U49" s="26"/>
      <c r="V49" s="27"/>
    </row>
    <row r="50" spans="2:22" ht="13.2" customHeight="1" x14ac:dyDescent="0.25">
      <c r="B50" s="59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109" t="s">
        <v>107</v>
      </c>
      <c r="O50" s="108" t="s">
        <v>108</v>
      </c>
      <c r="P50" s="34">
        <v>18062604</v>
      </c>
      <c r="Q50" s="82">
        <v>2</v>
      </c>
      <c r="R50" s="108" t="s">
        <v>24</v>
      </c>
      <c r="S50" s="93" t="s">
        <v>15</v>
      </c>
      <c r="T50" s="30" t="s">
        <v>358</v>
      </c>
      <c r="U50" s="30"/>
      <c r="V50" s="27"/>
    </row>
    <row r="51" spans="2:22" ht="13.2" customHeight="1" x14ac:dyDescent="0.25">
      <c r="B51" s="59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109" t="s">
        <v>109</v>
      </c>
      <c r="O51" s="108" t="s">
        <v>38</v>
      </c>
      <c r="P51" s="34">
        <v>13165710</v>
      </c>
      <c r="Q51" s="82">
        <v>2</v>
      </c>
      <c r="R51" s="108" t="s">
        <v>50</v>
      </c>
      <c r="S51" s="93" t="s">
        <v>15</v>
      </c>
      <c r="T51" s="30"/>
      <c r="U51" s="30"/>
      <c r="V51" s="27"/>
    </row>
    <row r="52" spans="2:22" ht="13.2" customHeight="1" x14ac:dyDescent="0.25">
      <c r="B52" s="59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109" t="s">
        <v>110</v>
      </c>
      <c r="O52" s="109" t="s">
        <v>111</v>
      </c>
      <c r="P52" s="34">
        <v>11309698</v>
      </c>
      <c r="Q52" s="82">
        <v>5</v>
      </c>
      <c r="R52" s="109" t="s">
        <v>56</v>
      </c>
      <c r="S52" s="93" t="s">
        <v>15</v>
      </c>
      <c r="T52" s="26"/>
      <c r="U52" s="26"/>
      <c r="V52" s="27"/>
    </row>
    <row r="53" spans="2:22" ht="13.2" customHeight="1" x14ac:dyDescent="0.25">
      <c r="B53" s="59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109" t="s">
        <v>112</v>
      </c>
      <c r="O53" s="109" t="s">
        <v>113</v>
      </c>
      <c r="P53" s="70">
        <v>14552495</v>
      </c>
      <c r="Q53" s="82">
        <v>4</v>
      </c>
      <c r="R53" s="109" t="s">
        <v>114</v>
      </c>
      <c r="S53" s="93" t="s">
        <v>15</v>
      </c>
      <c r="T53" s="26"/>
      <c r="U53" s="26"/>
      <c r="V53" s="27"/>
    </row>
    <row r="54" spans="2:22" ht="13.2" customHeight="1" x14ac:dyDescent="0.25">
      <c r="B54" s="59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109" t="s">
        <v>115</v>
      </c>
      <c r="O54" s="109" t="s">
        <v>116</v>
      </c>
      <c r="P54" s="34">
        <v>13823630</v>
      </c>
      <c r="Q54" s="82">
        <v>7</v>
      </c>
      <c r="R54" s="109" t="s">
        <v>14</v>
      </c>
      <c r="S54" s="93" t="s">
        <v>15</v>
      </c>
      <c r="T54" s="26"/>
      <c r="U54" s="26"/>
      <c r="V54" s="27"/>
    </row>
    <row r="55" spans="2:22" ht="13.2" customHeight="1" x14ac:dyDescent="0.25">
      <c r="B55" s="59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109" t="s">
        <v>117</v>
      </c>
      <c r="O55" s="109" t="s">
        <v>118</v>
      </c>
      <c r="P55" s="34">
        <v>16893933</v>
      </c>
      <c r="Q55" s="82">
        <v>7</v>
      </c>
      <c r="R55" s="109" t="s">
        <v>75</v>
      </c>
      <c r="S55" s="93" t="s">
        <v>15</v>
      </c>
      <c r="T55" s="26"/>
      <c r="U55" s="26"/>
      <c r="V55" s="27"/>
    </row>
    <row r="56" spans="2:22" ht="13.2" customHeight="1" x14ac:dyDescent="0.25">
      <c r="B56" s="59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110" t="s">
        <v>119</v>
      </c>
      <c r="O56" s="110" t="s">
        <v>80</v>
      </c>
      <c r="P56" s="28">
        <v>16312338</v>
      </c>
      <c r="Q56" s="82" t="s">
        <v>27</v>
      </c>
      <c r="R56" s="110" t="s">
        <v>28</v>
      </c>
      <c r="S56" s="93" t="s">
        <v>29</v>
      </c>
      <c r="T56" s="26" t="s">
        <v>359</v>
      </c>
      <c r="U56" s="21"/>
      <c r="V56" s="27"/>
    </row>
    <row r="57" spans="2:22" ht="13.2" customHeight="1" x14ac:dyDescent="0.25">
      <c r="B57" s="59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109" t="s">
        <v>121</v>
      </c>
      <c r="O57" s="109" t="s">
        <v>122</v>
      </c>
      <c r="P57" s="34">
        <v>16381174</v>
      </c>
      <c r="Q57" s="82" t="s">
        <v>27</v>
      </c>
      <c r="R57" s="109" t="s">
        <v>47</v>
      </c>
      <c r="S57" s="93" t="s">
        <v>15</v>
      </c>
      <c r="T57" s="26" t="s">
        <v>360</v>
      </c>
      <c r="U57" s="26"/>
      <c r="V57" s="27"/>
    </row>
    <row r="58" spans="2:22" ht="13.2" customHeight="1" x14ac:dyDescent="0.25">
      <c r="B58" s="59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109" t="s">
        <v>123</v>
      </c>
      <c r="O58" s="109" t="s">
        <v>124</v>
      </c>
      <c r="P58" s="34">
        <v>17892079</v>
      </c>
      <c r="Q58" s="82">
        <v>0</v>
      </c>
      <c r="R58" s="109" t="s">
        <v>125</v>
      </c>
      <c r="S58" s="93" t="s">
        <v>15</v>
      </c>
      <c r="T58" s="26"/>
      <c r="U58" s="26"/>
      <c r="V58" s="27"/>
    </row>
    <row r="59" spans="2:22" ht="13.2" customHeight="1" x14ac:dyDescent="0.25">
      <c r="B59" s="59"/>
      <c r="C59" s="59"/>
      <c r="D59" s="59"/>
      <c r="E59" s="59"/>
      <c r="F59" s="60"/>
      <c r="G59" s="60"/>
      <c r="H59" s="60"/>
      <c r="I59" s="60"/>
      <c r="J59" s="60"/>
      <c r="K59" s="60"/>
      <c r="L59" s="60"/>
      <c r="M59" s="60"/>
      <c r="N59" s="109" t="s">
        <v>123</v>
      </c>
      <c r="O59" s="109" t="s">
        <v>361</v>
      </c>
      <c r="P59" s="34" t="s">
        <v>362</v>
      </c>
      <c r="Q59" s="82">
        <v>7</v>
      </c>
      <c r="R59" s="109" t="s">
        <v>363</v>
      </c>
      <c r="S59" s="93" t="s">
        <v>15</v>
      </c>
      <c r="T59" s="26"/>
      <c r="U59" s="26"/>
      <c r="V59" s="27"/>
    </row>
    <row r="60" spans="2:22" ht="13.2" customHeight="1" x14ac:dyDescent="0.25">
      <c r="B60" s="59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09" t="s">
        <v>126</v>
      </c>
      <c r="O60" s="109" t="s">
        <v>127</v>
      </c>
      <c r="P60" s="34">
        <v>10513715</v>
      </c>
      <c r="Q60" s="82" t="s">
        <v>27</v>
      </c>
      <c r="R60" s="109" t="s">
        <v>114</v>
      </c>
      <c r="S60" s="93" t="s">
        <v>15</v>
      </c>
      <c r="T60" s="26"/>
      <c r="U60" s="26"/>
      <c r="V60" s="27"/>
    </row>
    <row r="61" spans="2:22" ht="13.2" customHeight="1" x14ac:dyDescent="0.25">
      <c r="B61" s="59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109" t="s">
        <v>126</v>
      </c>
      <c r="O61" s="109" t="s">
        <v>128</v>
      </c>
      <c r="P61" s="34">
        <v>8015963</v>
      </c>
      <c r="Q61" s="82">
        <v>3</v>
      </c>
      <c r="R61" s="109" t="s">
        <v>36</v>
      </c>
      <c r="S61" s="93" t="s">
        <v>15</v>
      </c>
      <c r="T61" s="26"/>
      <c r="U61" s="26"/>
      <c r="V61" s="27"/>
    </row>
    <row r="62" spans="2:22" ht="13.2" customHeight="1" x14ac:dyDescent="0.25">
      <c r="B62" s="59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09" t="s">
        <v>129</v>
      </c>
      <c r="O62" s="109" t="s">
        <v>130</v>
      </c>
      <c r="P62" s="34">
        <v>10601539</v>
      </c>
      <c r="Q62" s="82">
        <v>2</v>
      </c>
      <c r="R62" s="109" t="s">
        <v>131</v>
      </c>
      <c r="S62" s="93" t="s">
        <v>15</v>
      </c>
      <c r="T62" s="26"/>
      <c r="U62" s="26"/>
      <c r="V62" s="27"/>
    </row>
    <row r="63" spans="2:22" ht="13.2" customHeight="1" x14ac:dyDescent="0.25">
      <c r="B63" s="59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109" t="s">
        <v>132</v>
      </c>
      <c r="O63" s="109" t="s">
        <v>364</v>
      </c>
      <c r="P63" s="34">
        <v>17201367</v>
      </c>
      <c r="Q63" s="82">
        <v>8</v>
      </c>
      <c r="R63" s="109" t="s">
        <v>133</v>
      </c>
      <c r="S63" s="93" t="s">
        <v>15</v>
      </c>
      <c r="T63" s="26" t="s">
        <v>365</v>
      </c>
      <c r="U63" s="26"/>
      <c r="V63" s="27"/>
    </row>
    <row r="64" spans="2:22" ht="13.2" customHeight="1" x14ac:dyDescent="0.25">
      <c r="B64" s="59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109" t="s">
        <v>134</v>
      </c>
      <c r="O64" s="109" t="s">
        <v>135</v>
      </c>
      <c r="P64" s="34">
        <v>27366406</v>
      </c>
      <c r="Q64" s="82">
        <v>8</v>
      </c>
      <c r="R64" s="109" t="s">
        <v>24</v>
      </c>
      <c r="S64" s="93" t="s">
        <v>15</v>
      </c>
      <c r="T64" s="26"/>
      <c r="U64" s="26"/>
      <c r="V64" s="27"/>
    </row>
    <row r="65" spans="2:22" ht="13.2" customHeight="1" x14ac:dyDescent="0.25">
      <c r="B65" s="59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5" t="s">
        <v>369</v>
      </c>
      <c r="O65" s="36" t="s">
        <v>370</v>
      </c>
      <c r="P65" s="71">
        <v>22252835</v>
      </c>
      <c r="Q65" s="83">
        <v>6</v>
      </c>
      <c r="R65" s="35" t="s">
        <v>371</v>
      </c>
      <c r="S65" s="93" t="s">
        <v>15</v>
      </c>
      <c r="T65" s="26"/>
      <c r="U65" s="21"/>
      <c r="V65" s="27"/>
    </row>
    <row r="66" spans="2:22" ht="13.2" customHeight="1" x14ac:dyDescent="0.25">
      <c r="B66" s="59"/>
      <c r="C66" s="61"/>
      <c r="D66" s="60"/>
      <c r="E66" s="60"/>
      <c r="F66" s="62"/>
      <c r="G66" s="62"/>
      <c r="H66" s="62"/>
      <c r="I66" s="62"/>
      <c r="J66" s="62"/>
      <c r="K66" s="62"/>
      <c r="L66" s="62"/>
      <c r="M66" s="62"/>
      <c r="N66" s="22" t="s">
        <v>366</v>
      </c>
      <c r="O66" s="23" t="s">
        <v>136</v>
      </c>
      <c r="P66" s="69">
        <v>26567209</v>
      </c>
      <c r="Q66" s="81">
        <v>4</v>
      </c>
      <c r="R66" s="22" t="s">
        <v>137</v>
      </c>
      <c r="S66" s="93" t="s">
        <v>15</v>
      </c>
      <c r="T66" s="24" t="s">
        <v>367</v>
      </c>
      <c r="U66" s="24"/>
      <c r="V66" s="27"/>
    </row>
    <row r="67" spans="2:22" ht="13.2" customHeight="1" x14ac:dyDescent="0.25"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109" t="s">
        <v>138</v>
      </c>
      <c r="O67" s="109" t="s">
        <v>139</v>
      </c>
      <c r="P67" s="34">
        <v>16958024</v>
      </c>
      <c r="Q67" s="82">
        <v>3</v>
      </c>
      <c r="R67" s="109" t="s">
        <v>42</v>
      </c>
      <c r="S67" s="93" t="s">
        <v>15</v>
      </c>
      <c r="T67" s="26" t="s">
        <v>368</v>
      </c>
      <c r="U67" s="26"/>
      <c r="V67" s="27"/>
    </row>
    <row r="68" spans="2:22" ht="13.2" customHeight="1" x14ac:dyDescent="0.25">
      <c r="B68" s="59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109" t="s">
        <v>140</v>
      </c>
      <c r="O68" s="109" t="s">
        <v>141</v>
      </c>
      <c r="P68" s="34">
        <v>8227384</v>
      </c>
      <c r="Q68" s="82">
        <v>0</v>
      </c>
      <c r="R68" s="109" t="s">
        <v>142</v>
      </c>
      <c r="S68" s="93" t="s">
        <v>15</v>
      </c>
      <c r="T68" s="26"/>
      <c r="U68" s="26"/>
      <c r="V68" s="27"/>
    </row>
    <row r="69" spans="2:22" ht="13.2" customHeight="1" x14ac:dyDescent="0.25">
      <c r="B69" s="59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110" t="s">
        <v>143</v>
      </c>
      <c r="O69" s="110" t="s">
        <v>144</v>
      </c>
      <c r="P69" s="28">
        <v>15884657</v>
      </c>
      <c r="Q69" s="82">
        <v>8</v>
      </c>
      <c r="R69" s="110" t="s">
        <v>75</v>
      </c>
      <c r="S69" s="93" t="s">
        <v>15</v>
      </c>
      <c r="T69" s="26"/>
      <c r="U69" s="26"/>
      <c r="V69" s="27"/>
    </row>
    <row r="70" spans="2:22" ht="13.2" customHeight="1" x14ac:dyDescent="0.25">
      <c r="B70" s="59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109" t="s">
        <v>145</v>
      </c>
      <c r="O70" s="109" t="s">
        <v>146</v>
      </c>
      <c r="P70" s="34">
        <v>19962488</v>
      </c>
      <c r="Q70" s="82">
        <v>1</v>
      </c>
      <c r="R70" s="109" t="s">
        <v>56</v>
      </c>
      <c r="S70" s="93" t="s">
        <v>57</v>
      </c>
      <c r="T70" s="26"/>
      <c r="U70" s="26"/>
      <c r="V70" s="27"/>
    </row>
    <row r="71" spans="2:22" ht="13.2" customHeight="1" x14ac:dyDescent="0.25">
      <c r="B71" s="59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109" t="s">
        <v>147</v>
      </c>
      <c r="O71" s="109" t="s">
        <v>148</v>
      </c>
      <c r="P71" s="34">
        <v>13319593</v>
      </c>
      <c r="Q71" s="82">
        <v>9</v>
      </c>
      <c r="R71" s="109" t="s">
        <v>149</v>
      </c>
      <c r="S71" s="93" t="s">
        <v>15</v>
      </c>
      <c r="T71" s="26"/>
      <c r="U71" s="26"/>
      <c r="V71" s="27"/>
    </row>
    <row r="72" spans="2:22" ht="13.2" customHeight="1" x14ac:dyDescent="0.25">
      <c r="B72" s="59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111" t="s">
        <v>150</v>
      </c>
      <c r="O72" s="111" t="s">
        <v>151</v>
      </c>
      <c r="P72" s="72">
        <v>17777783</v>
      </c>
      <c r="Q72" s="84">
        <v>8</v>
      </c>
      <c r="R72" s="111" t="s">
        <v>42</v>
      </c>
      <c r="S72" s="93" t="s">
        <v>15</v>
      </c>
      <c r="T72" s="26" t="s">
        <v>372</v>
      </c>
      <c r="U72" s="26"/>
      <c r="V72" s="27"/>
    </row>
    <row r="73" spans="2:22" ht="13.2" customHeight="1" x14ac:dyDescent="0.25">
      <c r="B73" s="59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09" t="s">
        <v>152</v>
      </c>
      <c r="O73" s="109" t="s">
        <v>153</v>
      </c>
      <c r="P73" s="34">
        <v>10834618</v>
      </c>
      <c r="Q73" s="82">
        <v>3</v>
      </c>
      <c r="R73" s="109" t="s">
        <v>42</v>
      </c>
      <c r="S73" s="93" t="s">
        <v>15</v>
      </c>
      <c r="T73" s="26"/>
      <c r="U73" s="26"/>
      <c r="V73" s="27"/>
    </row>
    <row r="74" spans="2:22" ht="13.2" customHeight="1" x14ac:dyDescent="0.25">
      <c r="B74" s="59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09" t="s">
        <v>154</v>
      </c>
      <c r="O74" s="109" t="s">
        <v>155</v>
      </c>
      <c r="P74" s="34">
        <v>19183686</v>
      </c>
      <c r="Q74" s="82">
        <v>3</v>
      </c>
      <c r="R74" s="109" t="s">
        <v>156</v>
      </c>
      <c r="S74" s="93" t="s">
        <v>15</v>
      </c>
      <c r="T74" s="26"/>
      <c r="U74" s="26"/>
      <c r="V74" s="27"/>
    </row>
    <row r="75" spans="2:22" ht="13.2" customHeight="1" x14ac:dyDescent="0.25">
      <c r="B75" s="59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109" t="s">
        <v>157</v>
      </c>
      <c r="O75" s="109" t="s">
        <v>158</v>
      </c>
      <c r="P75" s="34">
        <v>13122975</v>
      </c>
      <c r="Q75" s="82">
        <v>5</v>
      </c>
      <c r="R75" s="109" t="s">
        <v>159</v>
      </c>
      <c r="S75" s="93" t="s">
        <v>15</v>
      </c>
      <c r="T75" s="26"/>
      <c r="U75" s="26"/>
      <c r="V75" s="27"/>
    </row>
    <row r="76" spans="2:22" ht="13.2" customHeight="1" x14ac:dyDescent="0.3">
      <c r="B76" s="59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110" t="s">
        <v>160</v>
      </c>
      <c r="O76" s="110" t="s">
        <v>161</v>
      </c>
      <c r="P76" s="28">
        <v>15301036</v>
      </c>
      <c r="Q76" s="82">
        <v>6</v>
      </c>
      <c r="R76" s="110" t="s">
        <v>75</v>
      </c>
      <c r="S76" s="93" t="s">
        <v>15</v>
      </c>
      <c r="T76" s="26"/>
      <c r="U76" s="37"/>
      <c r="V76" s="27"/>
    </row>
    <row r="77" spans="2:22" ht="13.2" customHeight="1" x14ac:dyDescent="0.25">
      <c r="B77" s="59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109" t="s">
        <v>162</v>
      </c>
      <c r="O77" s="109" t="s">
        <v>163</v>
      </c>
      <c r="P77" s="34">
        <v>21192192</v>
      </c>
      <c r="Q77" s="82">
        <v>7</v>
      </c>
      <c r="R77" s="109" t="s">
        <v>75</v>
      </c>
      <c r="S77" s="93" t="s">
        <v>57</v>
      </c>
      <c r="T77" s="26"/>
      <c r="U77" s="26"/>
      <c r="V77" s="27"/>
    </row>
    <row r="78" spans="2:22" ht="13.2" customHeight="1" x14ac:dyDescent="0.25">
      <c r="B78" s="59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110" t="s">
        <v>164</v>
      </c>
      <c r="O78" s="110" t="s">
        <v>165</v>
      </c>
      <c r="P78" s="28">
        <v>7850191</v>
      </c>
      <c r="Q78" s="82" t="s">
        <v>27</v>
      </c>
      <c r="R78" s="110" t="s">
        <v>75</v>
      </c>
      <c r="S78" s="93" t="s">
        <v>15</v>
      </c>
      <c r="T78" s="26"/>
      <c r="U78" s="26"/>
      <c r="V78" s="27"/>
    </row>
    <row r="79" spans="2:22" ht="13.2" customHeight="1" x14ac:dyDescent="0.25">
      <c r="B79" s="59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110" t="s">
        <v>166</v>
      </c>
      <c r="O79" s="110" t="s">
        <v>167</v>
      </c>
      <c r="P79" s="28">
        <v>18460566</v>
      </c>
      <c r="Q79" s="82" t="s">
        <v>27</v>
      </c>
      <c r="R79" s="110" t="s">
        <v>28</v>
      </c>
      <c r="S79" s="93" t="s">
        <v>29</v>
      </c>
      <c r="T79" s="26" t="s">
        <v>373</v>
      </c>
      <c r="U79" s="26"/>
      <c r="V79" s="27"/>
    </row>
    <row r="80" spans="2:22" ht="13.2" customHeight="1" x14ac:dyDescent="0.25">
      <c r="B80" s="59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110" t="s">
        <v>168</v>
      </c>
      <c r="O80" s="110" t="s">
        <v>169</v>
      </c>
      <c r="P80" s="28">
        <v>8631576</v>
      </c>
      <c r="Q80" s="82">
        <v>9</v>
      </c>
      <c r="R80" s="110" t="s">
        <v>75</v>
      </c>
      <c r="S80" s="93" t="s">
        <v>29</v>
      </c>
      <c r="T80" s="26"/>
      <c r="U80" s="26"/>
      <c r="V80" s="27"/>
    </row>
    <row r="81" spans="2:22" ht="13.2" customHeight="1" x14ac:dyDescent="0.25">
      <c r="B81" s="59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110" t="s">
        <v>168</v>
      </c>
      <c r="O81" s="110" t="s">
        <v>170</v>
      </c>
      <c r="P81" s="28">
        <v>6985521</v>
      </c>
      <c r="Q81" s="82">
        <v>0</v>
      </c>
      <c r="R81" s="110" t="s">
        <v>75</v>
      </c>
      <c r="S81" s="93" t="s">
        <v>29</v>
      </c>
      <c r="T81" s="26"/>
      <c r="U81" s="26"/>
      <c r="V81" s="27"/>
    </row>
    <row r="82" spans="2:22" ht="13.2" customHeight="1" x14ac:dyDescent="0.25">
      <c r="B82" s="59"/>
      <c r="C82" s="59"/>
      <c r="D82" s="60"/>
      <c r="E82" s="63"/>
      <c r="F82" s="60"/>
      <c r="G82" s="60"/>
      <c r="H82" s="60"/>
      <c r="I82" s="60"/>
      <c r="J82" s="60"/>
      <c r="K82" s="60"/>
      <c r="L82" s="60"/>
      <c r="M82" s="60"/>
      <c r="N82" s="109" t="s">
        <v>171</v>
      </c>
      <c r="O82" s="109" t="s">
        <v>172</v>
      </c>
      <c r="P82" s="34">
        <v>20992329</v>
      </c>
      <c r="Q82" s="82">
        <v>7</v>
      </c>
      <c r="R82" s="109" t="s">
        <v>56</v>
      </c>
      <c r="S82" s="93" t="s">
        <v>29</v>
      </c>
      <c r="T82" s="26"/>
      <c r="U82" s="26"/>
      <c r="V82" s="27"/>
    </row>
    <row r="83" spans="2:22" ht="13.2" customHeight="1" x14ac:dyDescent="0.25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112" t="s">
        <v>173</v>
      </c>
      <c r="O83" s="113" t="s">
        <v>174</v>
      </c>
      <c r="P83" s="73">
        <v>12422931</v>
      </c>
      <c r="Q83" s="85">
        <v>6</v>
      </c>
      <c r="R83" s="113" t="s">
        <v>35</v>
      </c>
      <c r="S83" s="93" t="s">
        <v>15</v>
      </c>
      <c r="T83" s="26"/>
      <c r="U83" s="26"/>
      <c r="V83" s="27"/>
    </row>
    <row r="84" spans="2:22" ht="13.2" customHeight="1" x14ac:dyDescent="0.25">
      <c r="B84" s="59"/>
      <c r="C84" s="59"/>
      <c r="D84" s="57"/>
      <c r="E84" s="63"/>
      <c r="F84" s="57"/>
      <c r="G84" s="57"/>
      <c r="H84" s="57"/>
      <c r="I84" s="57"/>
      <c r="J84" s="57"/>
      <c r="K84" s="57"/>
      <c r="L84" s="57"/>
      <c r="M84" s="57"/>
      <c r="N84" s="114" t="s">
        <v>175</v>
      </c>
      <c r="O84" s="115" t="s">
        <v>176</v>
      </c>
      <c r="P84" s="74">
        <v>13826204</v>
      </c>
      <c r="Q84" s="82">
        <v>9</v>
      </c>
      <c r="R84" s="115" t="s">
        <v>75</v>
      </c>
      <c r="S84" s="93" t="s">
        <v>15</v>
      </c>
      <c r="T84" s="26"/>
      <c r="U84" s="26"/>
      <c r="V84" s="27"/>
    </row>
    <row r="85" spans="2:22" ht="13.2" customHeight="1" x14ac:dyDescent="0.25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114" t="s">
        <v>177</v>
      </c>
      <c r="O85" s="115" t="s">
        <v>178</v>
      </c>
      <c r="P85" s="74">
        <v>13968472</v>
      </c>
      <c r="Q85" s="82">
        <v>9</v>
      </c>
      <c r="R85" s="115" t="s">
        <v>36</v>
      </c>
      <c r="S85" s="93" t="s">
        <v>15</v>
      </c>
      <c r="T85" s="26" t="s">
        <v>374</v>
      </c>
      <c r="U85" s="26"/>
      <c r="V85" s="27"/>
    </row>
    <row r="86" spans="2:22" ht="13.2" customHeight="1" x14ac:dyDescent="0.25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114" t="s">
        <v>179</v>
      </c>
      <c r="O86" s="115" t="s">
        <v>180</v>
      </c>
      <c r="P86" s="74">
        <v>11247826</v>
      </c>
      <c r="Q86" s="82">
        <v>4</v>
      </c>
      <c r="R86" s="115" t="s">
        <v>75</v>
      </c>
      <c r="S86" s="93" t="s">
        <v>15</v>
      </c>
      <c r="U86" s="26"/>
    </row>
    <row r="87" spans="2:22" ht="13.2" customHeight="1" x14ac:dyDescent="0.25">
      <c r="B87" s="59"/>
      <c r="C87" s="59"/>
      <c r="D87" s="59"/>
      <c r="E87" s="59"/>
      <c r="F87" s="64"/>
      <c r="G87" s="59"/>
      <c r="H87" s="59"/>
      <c r="I87" s="59"/>
      <c r="J87" s="59"/>
      <c r="K87" s="59"/>
      <c r="L87" s="59"/>
      <c r="M87" s="59"/>
      <c r="N87" s="114" t="s">
        <v>181</v>
      </c>
      <c r="O87" s="115" t="s">
        <v>182</v>
      </c>
      <c r="P87" s="74">
        <v>14292233</v>
      </c>
      <c r="Q87" s="82">
        <v>9</v>
      </c>
      <c r="R87" s="115" t="s">
        <v>42</v>
      </c>
      <c r="S87" s="93" t="s">
        <v>15</v>
      </c>
      <c r="T87" s="26" t="s">
        <v>375</v>
      </c>
      <c r="U87" s="26"/>
      <c r="V87" s="27"/>
    </row>
    <row r="88" spans="2:22" ht="13.2" customHeight="1" x14ac:dyDescent="0.25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114" t="s">
        <v>183</v>
      </c>
      <c r="O88" s="115" t="s">
        <v>148</v>
      </c>
      <c r="P88" s="74">
        <v>17047905</v>
      </c>
      <c r="Q88" s="82" t="s">
        <v>27</v>
      </c>
      <c r="R88" s="115" t="s">
        <v>91</v>
      </c>
      <c r="S88" s="93" t="s">
        <v>15</v>
      </c>
      <c r="T88" s="26"/>
      <c r="U88" s="26"/>
      <c r="V88" s="27"/>
    </row>
    <row r="89" spans="2:22" ht="13.2" customHeight="1" x14ac:dyDescent="0.25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114" t="s">
        <v>377</v>
      </c>
      <c r="O89" s="115" t="s">
        <v>378</v>
      </c>
      <c r="P89" s="74">
        <v>12165586</v>
      </c>
      <c r="Q89" s="82">
        <v>1</v>
      </c>
      <c r="R89" s="115" t="s">
        <v>379</v>
      </c>
      <c r="S89" s="93" t="s">
        <v>15</v>
      </c>
      <c r="T89" s="26"/>
      <c r="U89" s="26"/>
      <c r="V89" s="27"/>
    </row>
    <row r="90" spans="2:22" ht="13.2" customHeight="1" x14ac:dyDescent="0.25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116" t="s">
        <v>184</v>
      </c>
      <c r="O90" s="117" t="s">
        <v>185</v>
      </c>
      <c r="P90" s="38">
        <v>18963622</v>
      </c>
      <c r="Q90" s="82">
        <v>9</v>
      </c>
      <c r="R90" s="117" t="s">
        <v>186</v>
      </c>
      <c r="S90" s="93" t="s">
        <v>15</v>
      </c>
      <c r="T90" s="26" t="s">
        <v>376</v>
      </c>
      <c r="U90" s="26"/>
      <c r="V90" s="27"/>
    </row>
    <row r="91" spans="2:22" ht="13.2" customHeight="1" x14ac:dyDescent="0.25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114" t="s">
        <v>187</v>
      </c>
      <c r="O91" s="115" t="s">
        <v>17</v>
      </c>
      <c r="P91" s="74">
        <v>17891118</v>
      </c>
      <c r="Q91" s="82" t="s">
        <v>27</v>
      </c>
      <c r="R91" s="115" t="s">
        <v>75</v>
      </c>
      <c r="S91" s="93" t="s">
        <v>29</v>
      </c>
      <c r="T91" s="26"/>
      <c r="U91" s="26"/>
      <c r="V91" s="27"/>
    </row>
    <row r="92" spans="2:22" ht="13.2" customHeight="1" x14ac:dyDescent="0.25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114" t="s">
        <v>188</v>
      </c>
      <c r="O92" s="115" t="s">
        <v>189</v>
      </c>
      <c r="P92" s="74">
        <v>19942538</v>
      </c>
      <c r="Q92" s="82">
        <v>2</v>
      </c>
      <c r="R92" s="115" t="s">
        <v>75</v>
      </c>
      <c r="S92" s="93" t="s">
        <v>15</v>
      </c>
      <c r="T92" s="26"/>
      <c r="U92" s="26"/>
      <c r="V92" s="27"/>
    </row>
    <row r="93" spans="2:22" ht="13.2" customHeight="1" x14ac:dyDescent="0.25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116" t="s">
        <v>190</v>
      </c>
      <c r="O93" s="117" t="s">
        <v>191</v>
      </c>
      <c r="P93" s="38">
        <v>19439492</v>
      </c>
      <c r="Q93" s="82">
        <v>6</v>
      </c>
      <c r="R93" s="117" t="s">
        <v>56</v>
      </c>
      <c r="S93" s="93" t="s">
        <v>15</v>
      </c>
      <c r="T93" s="26"/>
      <c r="U93" s="26"/>
      <c r="V93" s="27"/>
    </row>
    <row r="94" spans="2:22" ht="13.2" customHeight="1" x14ac:dyDescent="0.25">
      <c r="B94" s="59"/>
      <c r="C94" s="59"/>
      <c r="D94" s="59"/>
      <c r="E94" s="59"/>
      <c r="F94" s="57"/>
      <c r="G94" s="59"/>
      <c r="H94" s="59"/>
      <c r="I94" s="59"/>
      <c r="J94" s="59"/>
      <c r="K94" s="59"/>
      <c r="L94" s="59"/>
      <c r="M94" s="59"/>
      <c r="N94" s="115" t="s">
        <v>192</v>
      </c>
      <c r="O94" s="115" t="s">
        <v>193</v>
      </c>
      <c r="P94" s="74">
        <v>16463847</v>
      </c>
      <c r="Q94" s="82">
        <v>2</v>
      </c>
      <c r="R94" s="115" t="s">
        <v>42</v>
      </c>
      <c r="S94" s="93" t="s">
        <v>15</v>
      </c>
      <c r="T94" s="26"/>
      <c r="U94" s="26"/>
      <c r="V94" s="27"/>
    </row>
    <row r="95" spans="2:22" ht="13.2" customHeight="1" x14ac:dyDescent="0.25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115" t="s">
        <v>380</v>
      </c>
      <c r="O95" s="115" t="s">
        <v>381</v>
      </c>
      <c r="P95" s="74">
        <v>21393910</v>
      </c>
      <c r="Q95" s="82">
        <v>6</v>
      </c>
      <c r="R95" s="115" t="s">
        <v>32</v>
      </c>
      <c r="S95" s="93" t="s">
        <v>15</v>
      </c>
      <c r="T95" s="26"/>
      <c r="U95" s="26"/>
      <c r="V95" s="27"/>
    </row>
    <row r="96" spans="2:22" ht="13.2" customHeight="1" x14ac:dyDescent="0.25">
      <c r="B96" s="57"/>
      <c r="C96" s="59"/>
      <c r="D96" s="57"/>
      <c r="E96" s="63"/>
      <c r="F96" s="59"/>
      <c r="G96" s="59"/>
      <c r="H96" s="59"/>
      <c r="I96" s="59"/>
      <c r="J96" s="59"/>
      <c r="K96" s="59"/>
      <c r="L96" s="59"/>
      <c r="M96" s="59"/>
      <c r="N96" s="117" t="s">
        <v>194</v>
      </c>
      <c r="O96" s="117" t="s">
        <v>195</v>
      </c>
      <c r="P96" s="38">
        <v>14577146</v>
      </c>
      <c r="Q96" s="82">
        <v>3</v>
      </c>
      <c r="R96" s="117" t="s">
        <v>28</v>
      </c>
      <c r="S96" s="93" t="s">
        <v>29</v>
      </c>
      <c r="T96" s="26"/>
      <c r="U96" s="21"/>
      <c r="V96" s="27"/>
    </row>
    <row r="97" spans="2:22" ht="13.2" customHeight="1" x14ac:dyDescent="0.25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113" t="s">
        <v>196</v>
      </c>
      <c r="O97" s="113" t="s">
        <v>197</v>
      </c>
      <c r="P97" s="73">
        <v>19934408</v>
      </c>
      <c r="Q97" s="85">
        <v>0</v>
      </c>
      <c r="R97" s="113" t="s">
        <v>91</v>
      </c>
      <c r="S97" s="94" t="s">
        <v>15</v>
      </c>
      <c r="T97" s="26" t="s">
        <v>382</v>
      </c>
      <c r="U97" s="26"/>
      <c r="V97" s="27"/>
    </row>
    <row r="98" spans="2:22" ht="13.2" customHeight="1" x14ac:dyDescent="0.25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115" t="s">
        <v>198</v>
      </c>
      <c r="O98" s="115" t="s">
        <v>199</v>
      </c>
      <c r="P98" s="74">
        <v>9450747</v>
      </c>
      <c r="Q98" s="82">
        <v>2</v>
      </c>
      <c r="R98" s="115" t="s">
        <v>28</v>
      </c>
      <c r="S98" s="93" t="s">
        <v>29</v>
      </c>
      <c r="T98" s="26" t="s">
        <v>383</v>
      </c>
      <c r="V98" s="27"/>
    </row>
    <row r="99" spans="2:22" ht="13.2" customHeight="1" x14ac:dyDescent="0.25">
      <c r="B99" s="59"/>
      <c r="C99" s="59"/>
      <c r="D99" s="59"/>
      <c r="E99" s="59"/>
      <c r="F99" s="57"/>
      <c r="G99" s="59"/>
      <c r="H99" s="59"/>
      <c r="I99" s="59"/>
      <c r="J99" s="59"/>
      <c r="K99" s="59"/>
      <c r="L99" s="59"/>
      <c r="M99" s="59"/>
      <c r="N99" s="117" t="s">
        <v>200</v>
      </c>
      <c r="O99" s="117" t="s">
        <v>201</v>
      </c>
      <c r="P99" s="38">
        <v>13122170</v>
      </c>
      <c r="Q99" s="82">
        <v>3</v>
      </c>
      <c r="R99" s="117" t="s">
        <v>202</v>
      </c>
      <c r="S99" s="93" t="s">
        <v>15</v>
      </c>
      <c r="T99" s="26" t="s">
        <v>384</v>
      </c>
      <c r="U99" s="21"/>
      <c r="V99" s="27"/>
    </row>
    <row r="100" spans="2:22" ht="13.2" customHeight="1" x14ac:dyDescent="0.25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115" t="s">
        <v>203</v>
      </c>
      <c r="O100" s="115" t="s">
        <v>204</v>
      </c>
      <c r="P100" s="74">
        <v>19028566</v>
      </c>
      <c r="Q100" s="82">
        <v>9</v>
      </c>
      <c r="R100" s="115" t="s">
        <v>205</v>
      </c>
      <c r="S100" s="93" t="s">
        <v>15</v>
      </c>
      <c r="U100" s="21"/>
      <c r="V100" s="27"/>
    </row>
    <row r="101" spans="2:22" ht="13.2" customHeight="1" x14ac:dyDescent="0.25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115" t="s">
        <v>206</v>
      </c>
      <c r="O101" s="115" t="s">
        <v>207</v>
      </c>
      <c r="P101" s="74">
        <v>17214412</v>
      </c>
      <c r="Q101" s="82">
        <v>8</v>
      </c>
      <c r="R101" s="115" t="s">
        <v>208</v>
      </c>
      <c r="S101" s="93" t="s">
        <v>57</v>
      </c>
      <c r="T101" s="26"/>
      <c r="U101" s="21"/>
      <c r="V101" s="55"/>
    </row>
    <row r="102" spans="2:22" ht="13.2" customHeight="1" x14ac:dyDescent="0.25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117" t="s">
        <v>209</v>
      </c>
      <c r="O102" s="117" t="s">
        <v>210</v>
      </c>
      <c r="P102" s="38">
        <v>12308577</v>
      </c>
      <c r="Q102" s="82">
        <v>9</v>
      </c>
      <c r="R102" s="117" t="s">
        <v>35</v>
      </c>
      <c r="S102" s="93" t="s">
        <v>15</v>
      </c>
      <c r="T102" s="26"/>
      <c r="U102" s="26"/>
      <c r="V102" s="27"/>
    </row>
    <row r="103" spans="2:22" ht="13.2" customHeight="1" x14ac:dyDescent="0.25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117" t="s">
        <v>211</v>
      </c>
      <c r="O103" s="117" t="s">
        <v>385</v>
      </c>
      <c r="P103" s="38">
        <v>12756578</v>
      </c>
      <c r="Q103" s="82">
        <v>3</v>
      </c>
      <c r="R103" s="117" t="s">
        <v>42</v>
      </c>
      <c r="S103" s="93" t="s">
        <v>15</v>
      </c>
      <c r="T103" s="26"/>
      <c r="U103" s="26"/>
      <c r="V103" s="27"/>
    </row>
    <row r="104" spans="2:22" ht="13.2" customHeight="1" x14ac:dyDescent="0.25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117" t="s">
        <v>211</v>
      </c>
      <c r="O104" s="117" t="s">
        <v>212</v>
      </c>
      <c r="P104" s="38">
        <v>12756605</v>
      </c>
      <c r="Q104" s="82">
        <v>4</v>
      </c>
      <c r="R104" s="117" t="s">
        <v>28</v>
      </c>
      <c r="S104" s="93" t="s">
        <v>57</v>
      </c>
      <c r="U104" s="21"/>
      <c r="V104" s="27"/>
    </row>
    <row r="105" spans="2:22" ht="13.2" customHeight="1" x14ac:dyDescent="0.25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118" t="s">
        <v>213</v>
      </c>
      <c r="O105" s="118" t="s">
        <v>214</v>
      </c>
      <c r="P105" s="75">
        <v>9264213</v>
      </c>
      <c r="Q105" s="86">
        <v>5</v>
      </c>
      <c r="R105" s="118" t="s">
        <v>50</v>
      </c>
      <c r="S105" s="93" t="s">
        <v>29</v>
      </c>
      <c r="T105" s="26"/>
      <c r="U105" s="26"/>
      <c r="V105" s="27"/>
    </row>
    <row r="106" spans="2:22" ht="13.2" customHeight="1" x14ac:dyDescent="0.25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118" t="s">
        <v>215</v>
      </c>
      <c r="O106" s="118" t="s">
        <v>216</v>
      </c>
      <c r="P106" s="75">
        <v>15276914</v>
      </c>
      <c r="Q106" s="86">
        <v>8</v>
      </c>
      <c r="R106" s="118" t="s">
        <v>28</v>
      </c>
      <c r="S106" s="93" t="s">
        <v>57</v>
      </c>
      <c r="T106" s="26"/>
      <c r="U106" s="26"/>
      <c r="V106" s="27"/>
    </row>
    <row r="107" spans="2:22" ht="13.2" customHeight="1" x14ac:dyDescent="0.25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118" t="s">
        <v>217</v>
      </c>
      <c r="O107" s="118" t="s">
        <v>218</v>
      </c>
      <c r="P107" s="75">
        <v>12005685</v>
      </c>
      <c r="Q107" s="86">
        <v>9</v>
      </c>
      <c r="R107" s="118" t="s">
        <v>14</v>
      </c>
      <c r="S107" s="93" t="s">
        <v>15</v>
      </c>
      <c r="T107" s="26"/>
      <c r="U107" s="26"/>
      <c r="V107" s="27"/>
    </row>
    <row r="108" spans="2:22" ht="13.2" customHeight="1" x14ac:dyDescent="0.25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118" t="s">
        <v>300</v>
      </c>
      <c r="O108" s="118" t="s">
        <v>301</v>
      </c>
      <c r="P108" s="75">
        <v>18402569</v>
      </c>
      <c r="Q108" s="86">
        <v>8</v>
      </c>
      <c r="R108" s="118" t="s">
        <v>302</v>
      </c>
      <c r="S108" s="93" t="s">
        <v>15</v>
      </c>
      <c r="T108" s="26" t="s">
        <v>386</v>
      </c>
      <c r="U108" s="21"/>
      <c r="V108" s="55"/>
    </row>
    <row r="109" spans="2:22" ht="13.2" customHeight="1" x14ac:dyDescent="0.25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118" t="s">
        <v>219</v>
      </c>
      <c r="O109" s="118" t="s">
        <v>220</v>
      </c>
      <c r="P109" s="75">
        <v>15530931</v>
      </c>
      <c r="Q109" s="86">
        <v>8</v>
      </c>
      <c r="R109" s="118" t="s">
        <v>42</v>
      </c>
      <c r="S109" s="93" t="s">
        <v>15</v>
      </c>
      <c r="T109" s="26"/>
      <c r="U109" s="26"/>
      <c r="V109" s="27"/>
    </row>
    <row r="110" spans="2:22" ht="13.2" customHeight="1" x14ac:dyDescent="0.25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118" t="s">
        <v>221</v>
      </c>
      <c r="O110" s="118" t="s">
        <v>222</v>
      </c>
      <c r="P110" s="75">
        <v>13122748</v>
      </c>
      <c r="Q110" s="86">
        <v>5</v>
      </c>
      <c r="R110" s="118" t="s">
        <v>42</v>
      </c>
      <c r="S110" s="93" t="s">
        <v>15</v>
      </c>
      <c r="T110" s="26" t="s">
        <v>387</v>
      </c>
      <c r="U110" s="26"/>
      <c r="V110" s="27"/>
    </row>
    <row r="111" spans="2:22" ht="13.2" customHeight="1" x14ac:dyDescent="0.25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119" t="s">
        <v>223</v>
      </c>
      <c r="O111" s="119" t="s">
        <v>224</v>
      </c>
      <c r="P111" s="39">
        <v>27827516</v>
      </c>
      <c r="Q111" s="86">
        <v>7</v>
      </c>
      <c r="R111" s="119" t="s">
        <v>225</v>
      </c>
      <c r="S111" s="93" t="s">
        <v>15</v>
      </c>
      <c r="T111" s="26"/>
      <c r="U111" s="26"/>
      <c r="V111" s="27"/>
    </row>
    <row r="112" spans="2:22" ht="13.2" customHeight="1" x14ac:dyDescent="0.25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119" t="s">
        <v>226</v>
      </c>
      <c r="O112" s="119" t="s">
        <v>227</v>
      </c>
      <c r="P112" s="39">
        <v>26726383</v>
      </c>
      <c r="Q112" s="86">
        <v>3</v>
      </c>
      <c r="R112" s="119" t="s">
        <v>24</v>
      </c>
      <c r="S112" s="93" t="s">
        <v>15</v>
      </c>
      <c r="T112" s="26" t="s">
        <v>388</v>
      </c>
      <c r="U112" s="26"/>
      <c r="V112" s="27"/>
    </row>
    <row r="113" spans="2:22" ht="13.2" customHeight="1" x14ac:dyDescent="0.25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40" t="s">
        <v>228</v>
      </c>
      <c r="O113" s="41" t="s">
        <v>229</v>
      </c>
      <c r="P113" s="45">
        <v>10340886</v>
      </c>
      <c r="Q113" s="24">
        <v>5</v>
      </c>
      <c r="R113" s="41" t="s">
        <v>71</v>
      </c>
      <c r="S113" s="93" t="s">
        <v>57</v>
      </c>
      <c r="T113" s="24" t="s">
        <v>389</v>
      </c>
      <c r="U113" s="24"/>
      <c r="V113" s="25"/>
    </row>
    <row r="114" spans="2:22" ht="13.2" customHeight="1" x14ac:dyDescent="0.25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118" t="s">
        <v>230</v>
      </c>
      <c r="O114" s="118" t="s">
        <v>231</v>
      </c>
      <c r="P114" s="75">
        <v>9255165</v>
      </c>
      <c r="Q114" s="86">
        <v>2</v>
      </c>
      <c r="R114" s="118" t="s">
        <v>50</v>
      </c>
      <c r="S114" s="93" t="s">
        <v>29</v>
      </c>
      <c r="T114" s="26"/>
      <c r="U114" s="26"/>
      <c r="V114" s="27"/>
    </row>
    <row r="115" spans="2:22" ht="13.2" customHeight="1" x14ac:dyDescent="0.25">
      <c r="B115" s="59"/>
      <c r="C115" s="59"/>
      <c r="D115" s="59"/>
      <c r="E115" s="59"/>
      <c r="F115" s="59"/>
      <c r="G115" s="59"/>
      <c r="H115" s="59"/>
      <c r="I115" s="65"/>
      <c r="J115" s="59"/>
      <c r="K115" s="59"/>
      <c r="L115" s="59"/>
      <c r="M115" s="59"/>
      <c r="N115" s="119" t="s">
        <v>232</v>
      </c>
      <c r="O115" s="119" t="s">
        <v>233</v>
      </c>
      <c r="P115" s="39">
        <v>16250846</v>
      </c>
      <c r="Q115" s="86">
        <v>6</v>
      </c>
      <c r="R115" s="119" t="s">
        <v>18</v>
      </c>
      <c r="S115" s="93" t="s">
        <v>15</v>
      </c>
      <c r="T115" s="26"/>
      <c r="U115" s="21"/>
      <c r="V115" s="27"/>
    </row>
    <row r="116" spans="2:22" ht="13.2" customHeight="1" x14ac:dyDescent="0.25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118" t="s">
        <v>234</v>
      </c>
      <c r="O116" s="118" t="s">
        <v>235</v>
      </c>
      <c r="P116" s="75">
        <v>17947134</v>
      </c>
      <c r="Q116" s="86">
        <v>5</v>
      </c>
      <c r="R116" s="118" t="s">
        <v>42</v>
      </c>
      <c r="S116" s="93" t="s">
        <v>15</v>
      </c>
      <c r="T116" s="26"/>
      <c r="U116" s="26"/>
      <c r="V116" s="27"/>
    </row>
    <row r="117" spans="2:22" ht="13.2" customHeigh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119" t="s">
        <v>236</v>
      </c>
      <c r="O117" s="119" t="s">
        <v>237</v>
      </c>
      <c r="P117" s="39">
        <v>27115098</v>
      </c>
      <c r="Q117" s="86">
        <v>9</v>
      </c>
      <c r="R117" s="119" t="s">
        <v>75</v>
      </c>
      <c r="S117" s="93" t="s">
        <v>57</v>
      </c>
      <c r="T117" s="26"/>
      <c r="U117" s="26"/>
      <c r="V117" s="27"/>
    </row>
    <row r="118" spans="2:22" ht="13.2" customHeight="1" x14ac:dyDescent="0.25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118" t="s">
        <v>238</v>
      </c>
      <c r="O118" s="118" t="s">
        <v>239</v>
      </c>
      <c r="P118" s="75">
        <v>15996586</v>
      </c>
      <c r="Q118" s="85">
        <v>4</v>
      </c>
      <c r="R118" s="118" t="s">
        <v>24</v>
      </c>
      <c r="S118" s="93" t="s">
        <v>15</v>
      </c>
      <c r="T118" s="26"/>
      <c r="U118" s="26"/>
      <c r="V118" s="27"/>
    </row>
    <row r="119" spans="2:22" ht="13.2" customHeight="1" x14ac:dyDescent="0.25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40" t="s">
        <v>240</v>
      </c>
      <c r="O119" s="41" t="s">
        <v>241</v>
      </c>
      <c r="P119" s="45">
        <v>15904483</v>
      </c>
      <c r="Q119" s="87">
        <v>1</v>
      </c>
      <c r="R119" s="40" t="s">
        <v>50</v>
      </c>
      <c r="S119" s="93" t="s">
        <v>29</v>
      </c>
      <c r="T119" s="24"/>
      <c r="U119" s="24"/>
      <c r="V119" s="25"/>
    </row>
    <row r="120" spans="2:22" ht="13.2" customHeight="1" x14ac:dyDescent="0.25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118" t="s">
        <v>242</v>
      </c>
      <c r="O120" s="118" t="s">
        <v>243</v>
      </c>
      <c r="P120" s="75">
        <v>13400009</v>
      </c>
      <c r="Q120" s="86">
        <v>0</v>
      </c>
      <c r="R120" s="118" t="s">
        <v>42</v>
      </c>
      <c r="S120" s="93" t="s">
        <v>15</v>
      </c>
      <c r="T120" s="26"/>
      <c r="U120" s="26"/>
      <c r="V120" s="27"/>
    </row>
    <row r="121" spans="2:22" ht="13.2" customHeight="1" x14ac:dyDescent="0.25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109" t="s">
        <v>244</v>
      </c>
      <c r="O121" s="109" t="s">
        <v>245</v>
      </c>
      <c r="P121" s="34">
        <v>13121441</v>
      </c>
      <c r="Q121" s="82">
        <v>3</v>
      </c>
      <c r="R121" s="109" t="s">
        <v>246</v>
      </c>
      <c r="S121" s="93" t="s">
        <v>247</v>
      </c>
      <c r="T121" s="26"/>
      <c r="U121" s="21"/>
      <c r="V121" s="55"/>
    </row>
    <row r="122" spans="2:22" ht="13.2" customHeight="1" x14ac:dyDescent="0.25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118" t="s">
        <v>248</v>
      </c>
      <c r="O122" s="118" t="s">
        <v>249</v>
      </c>
      <c r="P122" s="75">
        <v>24292548</v>
      </c>
      <c r="Q122" s="86">
        <v>3</v>
      </c>
      <c r="R122" s="118" t="s">
        <v>83</v>
      </c>
      <c r="S122" s="93" t="s">
        <v>15</v>
      </c>
      <c r="U122" s="26"/>
      <c r="V122" s="27"/>
    </row>
    <row r="123" spans="2:22" ht="13.2" customHeight="1" x14ac:dyDescent="0.25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118" t="s">
        <v>250</v>
      </c>
      <c r="O123" s="118" t="s">
        <v>251</v>
      </c>
      <c r="P123" s="75">
        <v>11714076</v>
      </c>
      <c r="Q123" s="86">
        <v>8</v>
      </c>
      <c r="R123" s="118" t="s">
        <v>42</v>
      </c>
      <c r="S123" s="93" t="s">
        <v>15</v>
      </c>
      <c r="T123" s="26"/>
      <c r="U123" s="26"/>
      <c r="V123" s="27"/>
    </row>
    <row r="124" spans="2:22" ht="13.2" customHeight="1" x14ac:dyDescent="0.25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118" t="s">
        <v>252</v>
      </c>
      <c r="O124" s="118" t="s">
        <v>253</v>
      </c>
      <c r="P124" s="75">
        <v>17998017</v>
      </c>
      <c r="Q124" s="86">
        <v>7</v>
      </c>
      <c r="R124" s="118" t="s">
        <v>42</v>
      </c>
      <c r="S124" s="93" t="s">
        <v>15</v>
      </c>
      <c r="T124" s="26" t="s">
        <v>390</v>
      </c>
      <c r="U124" s="21"/>
      <c r="V124" s="27"/>
    </row>
    <row r="125" spans="2:22" ht="13.2" customHeight="1" x14ac:dyDescent="0.25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119" t="s">
        <v>254</v>
      </c>
      <c r="O125" s="119" t="s">
        <v>255</v>
      </c>
      <c r="P125" s="39">
        <v>21413069</v>
      </c>
      <c r="Q125" s="86">
        <v>6</v>
      </c>
      <c r="R125" s="119" t="s">
        <v>75</v>
      </c>
      <c r="S125" s="93" t="s">
        <v>15</v>
      </c>
      <c r="T125" s="26" t="s">
        <v>391</v>
      </c>
      <c r="U125" s="26"/>
      <c r="V125" s="27"/>
    </row>
    <row r="126" spans="2:22" ht="13.2" customHeight="1" x14ac:dyDescent="0.25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40" t="s">
        <v>256</v>
      </c>
      <c r="O126" s="41" t="s">
        <v>257</v>
      </c>
      <c r="P126" s="45">
        <v>14440539</v>
      </c>
      <c r="Q126" s="24">
        <v>0</v>
      </c>
      <c r="R126" s="40" t="s">
        <v>258</v>
      </c>
      <c r="S126" s="93" t="s">
        <v>15</v>
      </c>
      <c r="T126" s="24"/>
      <c r="U126" s="24"/>
      <c r="V126" s="25"/>
    </row>
    <row r="127" spans="2:22" ht="13.2" customHeight="1" x14ac:dyDescent="0.25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118" t="s">
        <v>259</v>
      </c>
      <c r="O127" s="118" t="s">
        <v>260</v>
      </c>
      <c r="P127" s="75">
        <v>13122595</v>
      </c>
      <c r="Q127" s="86">
        <v>4</v>
      </c>
      <c r="R127" s="118" t="s">
        <v>56</v>
      </c>
      <c r="S127" s="93" t="s">
        <v>29</v>
      </c>
      <c r="T127" s="26" t="s">
        <v>392</v>
      </c>
      <c r="U127" s="21"/>
      <c r="V127" s="27"/>
    </row>
    <row r="128" spans="2:22" ht="13.2" customHeight="1" x14ac:dyDescent="0.25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119" t="s">
        <v>261</v>
      </c>
      <c r="O128" s="119" t="s">
        <v>262</v>
      </c>
      <c r="P128" s="39">
        <v>17889038</v>
      </c>
      <c r="Q128" s="86">
        <v>7</v>
      </c>
      <c r="R128" s="119" t="s">
        <v>263</v>
      </c>
      <c r="S128" s="93" t="s">
        <v>15</v>
      </c>
      <c r="T128" s="26"/>
      <c r="U128" s="26"/>
      <c r="V128" s="27"/>
    </row>
    <row r="129" spans="2:22" ht="13.2" customHeight="1" x14ac:dyDescent="0.25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118" t="s">
        <v>264</v>
      </c>
      <c r="O129" s="118" t="s">
        <v>265</v>
      </c>
      <c r="P129" s="75">
        <v>11691591</v>
      </c>
      <c r="Q129" s="86" t="s">
        <v>27</v>
      </c>
      <c r="R129" s="118" t="s">
        <v>266</v>
      </c>
      <c r="S129" s="93" t="s">
        <v>15</v>
      </c>
      <c r="T129" s="26" t="s">
        <v>393</v>
      </c>
      <c r="U129" s="26"/>
      <c r="V129" s="27"/>
    </row>
    <row r="130" spans="2:22" ht="13.2" customHeight="1" x14ac:dyDescent="0.25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118" t="s">
        <v>267</v>
      </c>
      <c r="O130" s="118" t="s">
        <v>268</v>
      </c>
      <c r="P130" s="75">
        <v>11838238</v>
      </c>
      <c r="Q130" s="86">
        <v>2</v>
      </c>
      <c r="R130" s="118" t="s">
        <v>269</v>
      </c>
      <c r="S130" s="93" t="s">
        <v>29</v>
      </c>
      <c r="T130" s="26"/>
      <c r="U130" s="26"/>
      <c r="V130" s="27"/>
    </row>
    <row r="131" spans="2:22" ht="13.2" customHeight="1" x14ac:dyDescent="0.25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120" t="s">
        <v>270</v>
      </c>
      <c r="O131" s="118" t="s">
        <v>271</v>
      </c>
      <c r="P131" s="75">
        <v>17926521</v>
      </c>
      <c r="Q131" s="86">
        <v>4</v>
      </c>
      <c r="R131" s="118" t="s">
        <v>272</v>
      </c>
      <c r="S131" s="93" t="s">
        <v>15</v>
      </c>
      <c r="T131" s="26"/>
      <c r="U131" s="21"/>
      <c r="V131" s="27"/>
    </row>
    <row r="132" spans="2:22" ht="13.2" customHeight="1" x14ac:dyDescent="0.25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118" t="s">
        <v>273</v>
      </c>
      <c r="O132" s="118" t="s">
        <v>274</v>
      </c>
      <c r="P132" s="75">
        <v>12753058</v>
      </c>
      <c r="Q132" s="86">
        <v>0</v>
      </c>
      <c r="R132" s="118" t="s">
        <v>42</v>
      </c>
      <c r="S132" s="93" t="s">
        <v>15</v>
      </c>
      <c r="U132" s="21"/>
      <c r="V132" s="27"/>
    </row>
    <row r="133" spans="2:22" ht="13.2" customHeight="1" x14ac:dyDescent="0.25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119" t="s">
        <v>275</v>
      </c>
      <c r="O133" s="119" t="s">
        <v>262</v>
      </c>
      <c r="P133" s="39">
        <v>17296534</v>
      </c>
      <c r="Q133" s="86">
        <v>2</v>
      </c>
      <c r="R133" s="119" t="s">
        <v>42</v>
      </c>
      <c r="S133" s="93" t="s">
        <v>15</v>
      </c>
      <c r="T133" s="26" t="s">
        <v>394</v>
      </c>
      <c r="U133" s="26"/>
      <c r="V133" s="27"/>
    </row>
    <row r="134" spans="2:22" ht="13.2" customHeight="1" x14ac:dyDescent="0.25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118" t="s">
        <v>276</v>
      </c>
      <c r="O134" s="118" t="s">
        <v>277</v>
      </c>
      <c r="P134" s="75">
        <v>9650080</v>
      </c>
      <c r="Q134" s="86">
        <v>7</v>
      </c>
      <c r="R134" s="118" t="s">
        <v>42</v>
      </c>
      <c r="S134" s="93" t="s">
        <v>15</v>
      </c>
      <c r="T134" s="26" t="s">
        <v>395</v>
      </c>
      <c r="U134" s="26"/>
      <c r="V134" s="27"/>
    </row>
    <row r="135" spans="2:22" ht="13.2" customHeight="1" x14ac:dyDescent="0.25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118" t="s">
        <v>278</v>
      </c>
      <c r="O135" s="118" t="s">
        <v>279</v>
      </c>
      <c r="P135" s="75">
        <v>14394480</v>
      </c>
      <c r="Q135" s="86">
        <v>8</v>
      </c>
      <c r="R135" s="118" t="s">
        <v>208</v>
      </c>
      <c r="S135" s="93" t="s">
        <v>29</v>
      </c>
      <c r="T135" s="26"/>
      <c r="U135" s="26"/>
      <c r="V135" s="27"/>
    </row>
    <row r="136" spans="2:22" ht="13.2" customHeight="1" x14ac:dyDescent="0.25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118" t="s">
        <v>281</v>
      </c>
      <c r="O136" s="118" t="s">
        <v>17</v>
      </c>
      <c r="P136" s="75">
        <v>7857732</v>
      </c>
      <c r="Q136" s="86">
        <v>0</v>
      </c>
      <c r="R136" s="118" t="s">
        <v>75</v>
      </c>
      <c r="S136" s="93" t="s">
        <v>15</v>
      </c>
      <c r="T136" s="26"/>
      <c r="U136" s="26"/>
      <c r="V136" s="25"/>
    </row>
    <row r="137" spans="2:22" ht="13.2" customHeight="1" x14ac:dyDescent="0.25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109" t="s">
        <v>282</v>
      </c>
      <c r="O137" s="109" t="s">
        <v>396</v>
      </c>
      <c r="P137" s="34">
        <v>12932517</v>
      </c>
      <c r="Q137" s="82">
        <v>8</v>
      </c>
      <c r="R137" s="109" t="s">
        <v>75</v>
      </c>
      <c r="S137" s="93" t="s">
        <v>15</v>
      </c>
      <c r="T137" s="26"/>
      <c r="U137" s="26"/>
      <c r="V137" s="25"/>
    </row>
    <row r="138" spans="2:22" ht="13.2" customHeight="1" x14ac:dyDescent="0.25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118" t="s">
        <v>282</v>
      </c>
      <c r="O138" s="118" t="s">
        <v>283</v>
      </c>
      <c r="P138" s="75">
        <v>12932517</v>
      </c>
      <c r="Q138" s="86">
        <v>8</v>
      </c>
      <c r="R138" s="118" t="s">
        <v>75</v>
      </c>
      <c r="S138" s="93" t="s">
        <v>15</v>
      </c>
      <c r="T138" s="26"/>
      <c r="U138" s="26"/>
      <c r="V138" s="42"/>
    </row>
    <row r="139" spans="2:22" ht="13.2" customHeight="1" x14ac:dyDescent="0.25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118" t="s">
        <v>284</v>
      </c>
      <c r="O139" s="118" t="s">
        <v>357</v>
      </c>
      <c r="P139" s="75">
        <v>12933999</v>
      </c>
      <c r="Q139" s="86">
        <v>3</v>
      </c>
      <c r="R139" s="118" t="s">
        <v>285</v>
      </c>
      <c r="S139" s="93" t="s">
        <v>15</v>
      </c>
      <c r="T139" s="26" t="s">
        <v>397</v>
      </c>
      <c r="U139" s="26"/>
      <c r="V139" s="25"/>
    </row>
    <row r="140" spans="2:22" ht="13.2" customHeight="1" x14ac:dyDescent="0.25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118" t="s">
        <v>286</v>
      </c>
      <c r="O140" s="118" t="s">
        <v>287</v>
      </c>
      <c r="P140" s="75">
        <v>17299306</v>
      </c>
      <c r="Q140" s="86">
        <v>0</v>
      </c>
      <c r="R140" s="118" t="s">
        <v>288</v>
      </c>
      <c r="S140" s="93" t="s">
        <v>15</v>
      </c>
      <c r="T140" s="26" t="s">
        <v>398</v>
      </c>
      <c r="U140" s="26"/>
      <c r="V140" s="25"/>
    </row>
    <row r="141" spans="2:22" ht="13.2" customHeight="1" x14ac:dyDescent="0.25">
      <c r="B141" s="59"/>
      <c r="C141" s="59"/>
      <c r="D141" s="63"/>
      <c r="E141" s="59"/>
      <c r="F141" s="59"/>
      <c r="G141" s="59"/>
      <c r="H141" s="59"/>
      <c r="I141" s="59"/>
      <c r="J141" s="59"/>
      <c r="K141" s="59"/>
      <c r="L141" s="59"/>
      <c r="M141" s="59"/>
      <c r="N141" s="118" t="s">
        <v>286</v>
      </c>
      <c r="O141" s="118" t="s">
        <v>289</v>
      </c>
      <c r="P141" s="75">
        <v>15528649</v>
      </c>
      <c r="Q141" s="86">
        <v>0</v>
      </c>
      <c r="R141" s="118" t="s">
        <v>42</v>
      </c>
      <c r="S141" s="93" t="s">
        <v>15</v>
      </c>
      <c r="T141" s="26"/>
      <c r="U141" s="26"/>
      <c r="V141" s="43"/>
    </row>
    <row r="142" spans="2:22" ht="13.2" customHeight="1" x14ac:dyDescent="0.25">
      <c r="B142" s="59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118" t="s">
        <v>290</v>
      </c>
      <c r="O142" s="118" t="s">
        <v>291</v>
      </c>
      <c r="P142" s="75">
        <v>20611255</v>
      </c>
      <c r="Q142" s="86">
        <v>7</v>
      </c>
      <c r="R142" s="118" t="s">
        <v>42</v>
      </c>
      <c r="S142" s="93" t="s">
        <v>15</v>
      </c>
      <c r="T142" s="26"/>
      <c r="U142" s="26"/>
      <c r="V142" s="25"/>
    </row>
    <row r="143" spans="2:22" ht="13.2" customHeight="1" x14ac:dyDescent="0.25">
      <c r="B143" s="59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118"/>
      <c r="O143" s="118"/>
      <c r="P143" s="75"/>
      <c r="Q143" s="86"/>
      <c r="R143" s="118"/>
      <c r="S143" s="93"/>
      <c r="T143" s="26"/>
      <c r="U143" s="26"/>
      <c r="V143" s="25"/>
    </row>
    <row r="144" spans="2:22" ht="13.2" customHeight="1" x14ac:dyDescent="0.25">
      <c r="B144" s="59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118"/>
      <c r="O144" s="118"/>
      <c r="P144" s="75"/>
      <c r="Q144" s="86"/>
      <c r="R144" s="118"/>
      <c r="S144" s="93"/>
      <c r="T144" s="26"/>
      <c r="U144" s="26"/>
      <c r="V144" s="25"/>
    </row>
    <row r="145" spans="2:22" ht="13.2" customHeight="1" x14ac:dyDescent="0.25">
      <c r="B145" s="59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118"/>
      <c r="O145" s="118"/>
      <c r="P145" s="75"/>
      <c r="Q145" s="86"/>
      <c r="R145" s="118"/>
      <c r="S145" s="93"/>
      <c r="T145" s="26"/>
      <c r="U145" s="26"/>
      <c r="V145" s="25"/>
    </row>
    <row r="146" spans="2:22" ht="13.2" customHeight="1" x14ac:dyDescent="0.25">
      <c r="B146" s="59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118"/>
      <c r="O146" s="118"/>
      <c r="P146" s="75"/>
      <c r="Q146" s="86"/>
      <c r="R146" s="118"/>
      <c r="S146" s="93"/>
      <c r="T146" s="26"/>
      <c r="U146" s="26"/>
      <c r="V146" s="25"/>
    </row>
    <row r="147" spans="2:22" ht="13.2" customHeight="1" x14ac:dyDescent="0.25">
      <c r="B147" s="59"/>
      <c r="C147" s="61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118"/>
      <c r="O147" s="118"/>
      <c r="P147" s="75"/>
      <c r="Q147" s="86"/>
      <c r="R147" s="118"/>
      <c r="S147" s="93"/>
      <c r="T147" s="26"/>
      <c r="U147" s="26"/>
      <c r="V147" s="25"/>
    </row>
    <row r="148" spans="2:22" ht="13.2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2:22" ht="13.2" customHeight="1" x14ac:dyDescent="0.25">
      <c r="B149" s="64"/>
      <c r="C149" s="66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121"/>
      <c r="O149" s="121"/>
      <c r="P149" s="76"/>
      <c r="Q149" s="88"/>
      <c r="R149" s="121"/>
      <c r="S149" s="95"/>
      <c r="T149" s="44"/>
      <c r="U149" s="44"/>
    </row>
    <row r="150" spans="2:22" ht="13.2" customHeight="1" x14ac:dyDescent="0.25">
      <c r="B150" s="125" t="s">
        <v>399</v>
      </c>
      <c r="C150" s="66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121"/>
      <c r="O150" s="121"/>
      <c r="P150" s="76"/>
      <c r="Q150" s="88"/>
      <c r="R150" s="121"/>
      <c r="S150" s="95"/>
      <c r="T150" s="44"/>
      <c r="U150" s="44"/>
    </row>
    <row r="151" spans="2:22" ht="13.2" customHeight="1" x14ac:dyDescent="0.25">
      <c r="B151" s="153" t="s">
        <v>1</v>
      </c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5"/>
      <c r="N151" s="18"/>
      <c r="O151" s="103"/>
      <c r="P151" s="19"/>
      <c r="Q151" s="18"/>
      <c r="R151" s="19"/>
      <c r="S151" s="19"/>
      <c r="T151" s="156" t="s">
        <v>339</v>
      </c>
      <c r="U151" s="156"/>
      <c r="V151" s="104"/>
    </row>
    <row r="152" spans="2:22" ht="13.2" customHeight="1" x14ac:dyDescent="0.25">
      <c r="B152" s="20" t="s">
        <v>338</v>
      </c>
      <c r="C152" s="20" t="s">
        <v>337</v>
      </c>
      <c r="D152" s="20" t="s">
        <v>338</v>
      </c>
      <c r="E152" s="20" t="s">
        <v>337</v>
      </c>
      <c r="F152" s="20" t="s">
        <v>338</v>
      </c>
      <c r="G152" s="20" t="s">
        <v>337</v>
      </c>
      <c r="H152" s="20" t="s">
        <v>338</v>
      </c>
      <c r="I152" s="20" t="s">
        <v>337</v>
      </c>
      <c r="J152" s="20" t="s">
        <v>338</v>
      </c>
      <c r="K152" s="20" t="s">
        <v>337</v>
      </c>
      <c r="L152" s="20" t="s">
        <v>338</v>
      </c>
      <c r="M152" s="20" t="s">
        <v>337</v>
      </c>
      <c r="N152" s="107" t="s">
        <v>307</v>
      </c>
      <c r="O152" s="107" t="s">
        <v>2</v>
      </c>
      <c r="P152" s="20" t="s">
        <v>3</v>
      </c>
      <c r="Q152" s="20" t="s">
        <v>4</v>
      </c>
      <c r="R152" s="20" t="s">
        <v>5</v>
      </c>
      <c r="S152" s="20" t="s">
        <v>6</v>
      </c>
      <c r="T152" s="20" t="s">
        <v>340</v>
      </c>
      <c r="U152" s="20" t="s">
        <v>6</v>
      </c>
      <c r="V152" s="102" t="s">
        <v>7</v>
      </c>
    </row>
    <row r="153" spans="2:22" ht="13.2" customHeight="1" x14ac:dyDescent="0.25"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40" t="s">
        <v>292</v>
      </c>
      <c r="O153" s="41" t="s">
        <v>293</v>
      </c>
      <c r="P153" s="45">
        <v>16809437</v>
      </c>
      <c r="Q153" s="24" t="s">
        <v>27</v>
      </c>
      <c r="R153" s="41" t="s">
        <v>294</v>
      </c>
      <c r="S153" s="126" t="s">
        <v>295</v>
      </c>
      <c r="T153" s="25"/>
      <c r="U153" s="25"/>
      <c r="V153" s="25"/>
    </row>
    <row r="154" spans="2:22" ht="13.2" customHeight="1" x14ac:dyDescent="0.25"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47" t="s">
        <v>292</v>
      </c>
      <c r="O154" s="48" t="s">
        <v>317</v>
      </c>
      <c r="P154" s="77">
        <v>22972589</v>
      </c>
      <c r="Q154" s="26">
        <v>0</v>
      </c>
      <c r="R154" s="48" t="s">
        <v>294</v>
      </c>
      <c r="S154" s="92"/>
      <c r="T154" s="24"/>
      <c r="U154" s="24"/>
      <c r="V154" s="25"/>
    </row>
    <row r="155" spans="2:22" ht="13.2" customHeight="1" x14ac:dyDescent="0.25"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47" t="s">
        <v>315</v>
      </c>
      <c r="O155" s="48" t="s">
        <v>318</v>
      </c>
      <c r="P155" s="78">
        <v>18736326</v>
      </c>
      <c r="Q155" s="30">
        <v>8</v>
      </c>
      <c r="R155" s="47" t="s">
        <v>294</v>
      </c>
      <c r="S155" s="97"/>
      <c r="T155" s="26"/>
      <c r="U155" s="24"/>
      <c r="V155" s="25"/>
    </row>
    <row r="156" spans="2:22" ht="13.2" customHeight="1" x14ac:dyDescent="0.25"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47" t="s">
        <v>303</v>
      </c>
      <c r="O156" s="48" t="s">
        <v>304</v>
      </c>
      <c r="P156" s="77"/>
      <c r="Q156" s="26"/>
      <c r="R156" s="48" t="s">
        <v>91</v>
      </c>
      <c r="S156" s="98" t="s">
        <v>295</v>
      </c>
      <c r="T156" s="24"/>
      <c r="U156" s="24"/>
      <c r="V156" s="25"/>
    </row>
    <row r="157" spans="2:22" ht="13.2" customHeight="1" x14ac:dyDescent="0.25"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47" t="s">
        <v>319</v>
      </c>
      <c r="O157" s="48" t="s">
        <v>308</v>
      </c>
      <c r="P157" s="77">
        <v>5533503</v>
      </c>
      <c r="Q157" s="26">
        <v>6</v>
      </c>
      <c r="R157" s="47" t="s">
        <v>320</v>
      </c>
      <c r="S157" s="93" t="s">
        <v>321</v>
      </c>
      <c r="T157" s="26"/>
      <c r="U157" s="24"/>
      <c r="V157" s="25"/>
    </row>
    <row r="158" spans="2:22" ht="13.2" customHeight="1" x14ac:dyDescent="0.25"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40" t="s">
        <v>322</v>
      </c>
      <c r="O158" s="41" t="s">
        <v>305</v>
      </c>
      <c r="P158" s="45">
        <v>27181315</v>
      </c>
      <c r="Q158" s="24">
        <v>5</v>
      </c>
      <c r="R158" s="40" t="s">
        <v>320</v>
      </c>
      <c r="S158" s="99"/>
      <c r="T158" s="24"/>
      <c r="U158" s="24"/>
      <c r="V158" s="25"/>
    </row>
    <row r="159" spans="2:22" ht="13.2" customHeight="1" x14ac:dyDescent="0.25"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40" t="s">
        <v>323</v>
      </c>
      <c r="O159" s="41" t="s">
        <v>308</v>
      </c>
      <c r="P159" s="45">
        <v>17547450</v>
      </c>
      <c r="Q159" s="24">
        <v>1</v>
      </c>
      <c r="R159" s="41" t="s">
        <v>324</v>
      </c>
      <c r="S159" s="92" t="s">
        <v>325</v>
      </c>
      <c r="T159" s="24"/>
      <c r="U159" s="25"/>
      <c r="V159" s="25"/>
    </row>
    <row r="160" spans="2:22" ht="13.2" customHeight="1" x14ac:dyDescent="0.25"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47" t="s">
        <v>326</v>
      </c>
      <c r="O160" s="48" t="s">
        <v>327</v>
      </c>
      <c r="P160" s="77">
        <v>9047753</v>
      </c>
      <c r="Q160" s="26">
        <v>6</v>
      </c>
      <c r="R160" s="47" t="s">
        <v>306</v>
      </c>
      <c r="S160" s="97" t="s">
        <v>328</v>
      </c>
      <c r="T160" s="27"/>
      <c r="U160" s="24"/>
      <c r="V160" s="25"/>
    </row>
    <row r="161" spans="2:22" ht="13.2" customHeight="1" x14ac:dyDescent="0.25"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40" t="s">
        <v>329</v>
      </c>
      <c r="O161" s="41" t="s">
        <v>330</v>
      </c>
      <c r="P161" s="45">
        <v>20937246</v>
      </c>
      <c r="Q161" s="24">
        <v>0</v>
      </c>
      <c r="R161" s="41" t="s">
        <v>324</v>
      </c>
      <c r="S161" s="126" t="s">
        <v>333</v>
      </c>
      <c r="T161" s="27"/>
      <c r="U161" s="24"/>
      <c r="V161" s="25"/>
    </row>
    <row r="162" spans="2:22" ht="13.2" customHeight="1" x14ac:dyDescent="0.25"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47" t="s">
        <v>310</v>
      </c>
      <c r="O162" s="48" t="s">
        <v>311</v>
      </c>
      <c r="P162" s="77"/>
      <c r="Q162" s="26"/>
      <c r="R162" s="48" t="s">
        <v>331</v>
      </c>
      <c r="S162" s="98" t="s">
        <v>332</v>
      </c>
      <c r="T162" s="27"/>
      <c r="U162" s="26"/>
      <c r="V162" s="25"/>
    </row>
    <row r="163" spans="2:22" ht="13.2" customHeight="1" x14ac:dyDescent="0.25">
      <c r="B163" s="67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47" t="s">
        <v>334</v>
      </c>
      <c r="O163" s="48" t="s">
        <v>335</v>
      </c>
      <c r="P163" s="77">
        <v>21457843</v>
      </c>
      <c r="Q163" s="26">
        <v>3</v>
      </c>
      <c r="R163" s="48" t="s">
        <v>320</v>
      </c>
      <c r="S163" s="98" t="s">
        <v>336</v>
      </c>
      <c r="T163" s="27"/>
      <c r="U163" s="26"/>
      <c r="V163" s="25"/>
    </row>
    <row r="164" spans="2:22" ht="13.2" customHeight="1" x14ac:dyDescent="0.25">
      <c r="B164" s="67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47" t="s">
        <v>296</v>
      </c>
      <c r="O164" s="48" t="s">
        <v>297</v>
      </c>
      <c r="P164" s="78"/>
      <c r="Q164" s="30"/>
      <c r="R164" s="47" t="s">
        <v>309</v>
      </c>
      <c r="S164" s="93" t="s">
        <v>295</v>
      </c>
      <c r="T164" s="26"/>
      <c r="U164" s="26"/>
      <c r="V164" s="25"/>
    </row>
    <row r="165" spans="2:22" ht="13.2" customHeight="1" x14ac:dyDescent="0.25">
      <c r="B165" s="6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47"/>
      <c r="O165" s="48"/>
      <c r="P165" s="77"/>
      <c r="Q165" s="26"/>
      <c r="R165" s="47"/>
      <c r="S165" s="93"/>
      <c r="T165" s="26"/>
      <c r="U165" s="24"/>
      <c r="V165" s="25"/>
    </row>
    <row r="166" spans="2:22" ht="13.2" customHeight="1" x14ac:dyDescent="0.25">
      <c r="B166" s="6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27"/>
      <c r="O166" s="128"/>
      <c r="P166" s="129"/>
      <c r="Q166" s="53"/>
      <c r="R166" s="127"/>
      <c r="S166" s="100"/>
      <c r="T166" s="53"/>
      <c r="U166" s="24"/>
      <c r="V166" s="25"/>
    </row>
    <row r="167" spans="2:22" ht="13.2" customHeight="1" x14ac:dyDescent="0.25"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27"/>
      <c r="O167" s="128"/>
      <c r="P167" s="129"/>
      <c r="Q167" s="53"/>
      <c r="R167" s="127"/>
      <c r="S167" s="100"/>
      <c r="T167" s="53"/>
      <c r="U167" s="24"/>
      <c r="V167" s="25"/>
    </row>
    <row r="168" spans="2:22" ht="13.2" customHeight="1" x14ac:dyDescent="0.25"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40"/>
      <c r="O168" s="41"/>
      <c r="P168" s="45"/>
      <c r="Q168" s="24"/>
      <c r="R168" s="41"/>
      <c r="S168" s="92"/>
      <c r="T168" s="24"/>
      <c r="U168" s="24"/>
      <c r="V168" s="25"/>
    </row>
    <row r="169" spans="2:22" ht="13.2" customHeight="1" x14ac:dyDescent="0.25"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40"/>
      <c r="O169" s="41"/>
      <c r="P169" s="45"/>
      <c r="Q169" s="24"/>
      <c r="R169" s="41"/>
      <c r="S169" s="92"/>
      <c r="T169" s="24"/>
      <c r="U169" s="24"/>
      <c r="V169" s="25"/>
    </row>
    <row r="170" spans="2:22" x14ac:dyDescent="0.25"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40"/>
      <c r="O170" s="41"/>
      <c r="P170" s="45"/>
      <c r="Q170" s="24"/>
      <c r="R170" s="41"/>
      <c r="S170" s="92"/>
      <c r="T170" s="24"/>
      <c r="U170" s="24"/>
      <c r="V170" s="25"/>
    </row>
    <row r="171" spans="2:22" x14ac:dyDescent="0.25"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40"/>
      <c r="O171" s="41"/>
      <c r="P171" s="45"/>
      <c r="Q171" s="24"/>
      <c r="R171" s="41"/>
      <c r="S171" s="92"/>
      <c r="T171" s="24"/>
      <c r="U171" s="24"/>
      <c r="V171" s="25"/>
    </row>
    <row r="172" spans="2:22" x14ac:dyDescent="0.25"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40"/>
      <c r="O172" s="41"/>
      <c r="P172" s="45"/>
      <c r="Q172" s="24"/>
      <c r="R172" s="41"/>
      <c r="S172" s="92"/>
      <c r="T172" s="24"/>
      <c r="U172" s="24"/>
      <c r="V172" s="25"/>
    </row>
    <row r="173" spans="2:22" x14ac:dyDescent="0.25"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40"/>
      <c r="O173" s="41"/>
      <c r="P173" s="45"/>
      <c r="Q173" s="24"/>
      <c r="R173" s="41"/>
      <c r="S173" s="92"/>
      <c r="T173" s="24"/>
      <c r="U173" s="24"/>
      <c r="V173" s="25"/>
    </row>
    <row r="174" spans="2:22" x14ac:dyDescent="0.25"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40"/>
      <c r="O174" s="41"/>
      <c r="P174" s="45"/>
      <c r="Q174" s="24"/>
      <c r="R174" s="41"/>
      <c r="S174" s="92"/>
      <c r="T174" s="24"/>
      <c r="U174" s="24"/>
      <c r="V174" s="25"/>
    </row>
    <row r="175" spans="2:22" x14ac:dyDescent="0.25"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40"/>
      <c r="O175" s="41"/>
      <c r="P175" s="45"/>
      <c r="Q175" s="24"/>
      <c r="R175" s="41"/>
      <c r="S175" s="92"/>
      <c r="T175" s="24"/>
      <c r="U175" s="24"/>
      <c r="V175" s="25"/>
    </row>
    <row r="176" spans="2:22" x14ac:dyDescent="0.25"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40"/>
      <c r="O176" s="41"/>
      <c r="P176" s="45"/>
      <c r="Q176" s="24"/>
      <c r="R176" s="41"/>
      <c r="S176" s="92"/>
      <c r="T176" s="24"/>
      <c r="U176" s="24"/>
      <c r="V176" s="25"/>
    </row>
    <row r="177" spans="2:22" x14ac:dyDescent="0.25"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40"/>
      <c r="O177" s="41"/>
      <c r="P177" s="45"/>
      <c r="Q177" s="24"/>
      <c r="R177" s="41"/>
      <c r="S177" s="92"/>
      <c r="T177" s="24"/>
      <c r="U177" s="24"/>
      <c r="V177" s="25"/>
    </row>
  </sheetData>
  <autoFilter ref="B7:V7" xr:uid="{EDC992FD-F809-4CB1-B436-1F9A3AC0F530}"/>
  <mergeCells count="6">
    <mergeCell ref="B2:M2"/>
    <mergeCell ref="B4:Q4"/>
    <mergeCell ref="B6:M6"/>
    <mergeCell ref="T6:U6"/>
    <mergeCell ref="B151:M151"/>
    <mergeCell ref="T151:U15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898F844F77D4E9F79C0A8930CF4AF" ma:contentTypeVersion="9" ma:contentTypeDescription="Create a new document." ma:contentTypeScope="" ma:versionID="51bdecdddf51b9a2b082594e0f204b68">
  <xsd:schema xmlns:xsd="http://www.w3.org/2001/XMLSchema" xmlns:xs="http://www.w3.org/2001/XMLSchema" xmlns:p="http://schemas.microsoft.com/office/2006/metadata/properties" xmlns:ns3="f9c4cbae-85ba-47f0-a96c-4ade3b597570" targetNamespace="http://schemas.microsoft.com/office/2006/metadata/properties" ma:root="true" ma:fieldsID="a3cbf3f9043ed4832ba6f9e3362f8f62" ns3:_="">
    <xsd:import namespace="f9c4cbae-85ba-47f0-a96c-4ade3b5975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4cbae-85ba-47f0-a96c-4ade3b5975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CDD905-DCA9-496F-8B1B-C31E80DA37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30C937-6EB7-4700-9D0F-D3AC472EF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4cbae-85ba-47f0-a96c-4ade3b597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011B41-A7A6-426A-8705-16EC1FF8EE1B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f9c4cbae-85ba-47f0-a96c-4ade3b597570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Portería Tresol  Husamontt</dc:creator>
  <cp:keywords/>
  <dc:description/>
  <cp:lastModifiedBy>Fabian Aravena</cp:lastModifiedBy>
  <cp:revision/>
  <dcterms:created xsi:type="dcterms:W3CDTF">2024-10-27T15:30:34Z</dcterms:created>
  <dcterms:modified xsi:type="dcterms:W3CDTF">2026-03-16T18:10:01Z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0x010100E4D898F844F77D4E9F79C0A8930CF4AF</vt:lpwstr>
  </property>
</Properties>
</file>