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11"/>
  <workbookPr/>
  <mc:AlternateContent xmlns:mc="http://schemas.openxmlformats.org/markup-compatibility/2006">
    <mc:Choice Requires="x15">
      <x15ac:absPath xmlns:x15ac="http://schemas.microsoft.com/office/spreadsheetml/2010/11/ac" url="https://tresolcl-my.sharepoint.com/personal/informacion_tresol_cl/Documents/LOGISTICA Y OPERACIONES/Vehículos TRESOL/"/>
    </mc:Choice>
  </mc:AlternateContent>
  <xr:revisionPtr revIDLastSave="0" documentId="8_{50F92E2F-F494-4570-85EC-FCD801704465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mantencion" sheetId="1" r:id="rId1"/>
    <sheet name="cronología" sheetId="2" r:id="rId2"/>
  </sheets>
  <definedNames>
    <definedName name="_xlnm._FilterDatabase" localSheetId="1" hidden="1">cronología!$B$3:$E$46</definedName>
    <definedName name="_xlnm._FilterDatabase" localSheetId="0" hidden="1">mantencion!$C$4:$N$51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0" i="1" l="1"/>
  <c r="J24" i="1"/>
  <c r="M24" i="1" s="1"/>
  <c r="J25" i="1"/>
  <c r="M25" i="1" s="1"/>
  <c r="J26" i="1"/>
  <c r="M26" i="1" s="1"/>
  <c r="M7" i="1"/>
  <c r="J27" i="1"/>
  <c r="M27" i="1" s="1"/>
  <c r="Q4" i="1"/>
  <c r="R4" i="1" s="1"/>
  <c r="J23" i="1"/>
  <c r="M23" i="1" s="1"/>
  <c r="T4" i="1"/>
  <c r="U3" i="1"/>
  <c r="J5" i="1"/>
  <c r="J35" i="1" l="1"/>
  <c r="M35" i="1" s="1"/>
  <c r="J36" i="1"/>
  <c r="M36" i="1" s="1"/>
  <c r="J18" i="1"/>
  <c r="M18" i="1" s="1"/>
  <c r="J37" i="1"/>
  <c r="M37" i="1" s="1"/>
  <c r="J38" i="1"/>
  <c r="M38" i="1" s="1"/>
  <c r="J39" i="1"/>
  <c r="M39" i="1" s="1"/>
  <c r="J40" i="1"/>
  <c r="M40" i="1" s="1"/>
  <c r="J41" i="1"/>
  <c r="M41" i="1" s="1"/>
  <c r="J42" i="1"/>
  <c r="M42" i="1" s="1"/>
  <c r="J43" i="1"/>
  <c r="M43" i="1" s="1"/>
  <c r="J44" i="1"/>
  <c r="M44" i="1" s="1"/>
  <c r="J45" i="1"/>
  <c r="M45" i="1" s="1"/>
  <c r="J46" i="1"/>
  <c r="M46" i="1" s="1"/>
  <c r="J47" i="1"/>
  <c r="M47" i="1" s="1"/>
  <c r="J48" i="1"/>
  <c r="M48" i="1" s="1"/>
  <c r="J49" i="1"/>
  <c r="M49" i="1" s="1"/>
  <c r="J50" i="1"/>
  <c r="M50" i="1" s="1"/>
  <c r="J51" i="1"/>
  <c r="M51" i="1" s="1"/>
  <c r="J2" i="1"/>
  <c r="M5" i="1"/>
  <c r="J33" i="1"/>
  <c r="M33" i="1" s="1"/>
  <c r="J34" i="1"/>
  <c r="M34" i="1" s="1"/>
  <c r="J19" i="1"/>
  <c r="M19" i="1" s="1"/>
  <c r="J8" i="1"/>
  <c r="M8" i="1" s="1"/>
  <c r="J11" i="1"/>
  <c r="M11" i="1" s="1"/>
  <c r="J32" i="1"/>
  <c r="M32" i="1" s="1"/>
  <c r="J31" i="1"/>
  <c r="M31" i="1" s="1"/>
  <c r="J9" i="1"/>
  <c r="M9" i="1" s="1"/>
  <c r="J28" i="1"/>
  <c r="M28" i="1" s="1"/>
  <c r="J17" i="1"/>
  <c r="M17" i="1" s="1"/>
  <c r="J6" i="1"/>
  <c r="M6" i="1" s="1"/>
  <c r="J10" i="1"/>
  <c r="M10" i="1" s="1"/>
  <c r="J12" i="1"/>
  <c r="M12" i="1" s="1"/>
  <c r="J13" i="1"/>
  <c r="M13" i="1" s="1"/>
  <c r="J16" i="1"/>
  <c r="M16" i="1" s="1"/>
  <c r="J14" i="1"/>
  <c r="M14" i="1" s="1"/>
  <c r="J15" i="1"/>
  <c r="M15" i="1" s="1"/>
  <c r="J20" i="1"/>
  <c r="M20" i="1" s="1"/>
  <c r="J21" i="1"/>
  <c r="M21" i="1" s="1"/>
  <c r="J22" i="1"/>
  <c r="M22" i="1" s="1"/>
  <c r="J29" i="1"/>
  <c r="M29" i="1" s="1"/>
  <c r="M3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Ignacio Hueichan</author>
  </authors>
  <commentList>
    <comment ref="I5" authorId="0" shapeId="0" xr:uid="{D8139908-5DC3-4903-80A9-C3B94BB9FB8E}">
      <text>
        <r>
          <rPr>
            <b/>
            <sz val="9"/>
            <color indexed="81"/>
            <rFont val="Tahoma"/>
            <family val="2"/>
          </rPr>
          <t>Ignacio Hueichan:</t>
        </r>
        <r>
          <rPr>
            <sz val="9"/>
            <color indexed="81"/>
            <rFont val="Tahoma"/>
            <family val="2"/>
          </rPr>
          <t xml:space="preserve">
 Odómetro malo. Se lleva control con GPS.</t>
        </r>
      </text>
    </comment>
    <comment ref="E23" authorId="0" shapeId="0" xr:uid="{B5B7964B-EBC6-4EFB-BDAA-E6B354FF1A87}">
      <text>
        <r>
          <rPr>
            <b/>
            <sz val="9"/>
            <color indexed="81"/>
            <rFont val="Tahoma"/>
            <family val="2"/>
          </rPr>
          <t>Ignacio Hueichan:</t>
        </r>
        <r>
          <rPr>
            <sz val="9"/>
            <color indexed="81"/>
            <rFont val="Tahoma"/>
            <family val="2"/>
          </rPr>
          <t xml:space="preserve">
Camión muestra odómetro en millas</t>
        </r>
      </text>
    </comment>
    <comment ref="F23" authorId="0" shapeId="0" xr:uid="{AD58E4A8-4804-4EDD-AC5A-29AD591C96B4}">
      <text>
        <r>
          <rPr>
            <b/>
            <sz val="9"/>
            <color indexed="81"/>
            <rFont val="Tahoma"/>
            <family val="2"/>
          </rPr>
          <t>Ignacio Hueichan:</t>
        </r>
        <r>
          <rPr>
            <sz val="9"/>
            <color indexed="81"/>
            <rFont val="Tahoma"/>
            <family val="2"/>
          </rPr>
          <t xml:space="preserve">
1 milla = 1,609344 km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tc={42C2410F-4A75-45E6-9105-7CBCA33586F1}</author>
  </authors>
  <commentList>
    <comment ref="E37" authorId="0" shapeId="0" xr:uid="{42C2410F-4A75-45E6-9105-7CBCA33586F1}">
      <text>
        <t>[Threaded comment]
Your version of Excel allows you to read this threaded comment; however, any edits to it will get removed if the file is opened in a newer version of Excel. Learn more: https://go.microsoft.com/fwlink/?linkid=870924
Comment:
    Odómetro malo, se lleva control con gps.</t>
      </text>
    </comment>
  </commentList>
</comments>
</file>

<file path=xl/sharedStrings.xml><?xml version="1.0" encoding="utf-8"?>
<sst xmlns="http://schemas.openxmlformats.org/spreadsheetml/2006/main" count="312" uniqueCount="76">
  <si>
    <t xml:space="preserve">Fecha </t>
  </si>
  <si>
    <t>millas</t>
  </si>
  <si>
    <t>km</t>
  </si>
  <si>
    <t>CAMBIO DE ACEITE Y FILTROS</t>
  </si>
  <si>
    <t>MANTENCIÓN</t>
  </si>
  <si>
    <t>N°</t>
  </si>
  <si>
    <t>PATENTE</t>
  </si>
  <si>
    <t>VEHÍCULO</t>
  </si>
  <si>
    <t>CICLO</t>
  </si>
  <si>
    <t>MEDIDA</t>
  </si>
  <si>
    <t>FECHA</t>
  </si>
  <si>
    <t>HORA</t>
  </si>
  <si>
    <t>ÚLTIMA (km)</t>
  </si>
  <si>
    <t>PRÓXIMA (km)</t>
  </si>
  <si>
    <t>TALLER</t>
  </si>
  <si>
    <t>ODOMETRO ACTUAL</t>
  </si>
  <si>
    <t>KM RESTANTES</t>
  </si>
  <si>
    <t>GPS</t>
  </si>
  <si>
    <t>FDLR 10</t>
  </si>
  <si>
    <t>Ampliroll</t>
  </si>
  <si>
    <t>kilometros</t>
  </si>
  <si>
    <t>TRESOL</t>
  </si>
  <si>
    <t>Samtech</t>
  </si>
  <si>
    <t>FLDT-53</t>
  </si>
  <si>
    <t>COYHAIQUE</t>
  </si>
  <si>
    <t>GBCD-12</t>
  </si>
  <si>
    <t>Grúa</t>
  </si>
  <si>
    <t>sin información</t>
  </si>
  <si>
    <t>Gps Chile</t>
  </si>
  <si>
    <t>HCCY-38</t>
  </si>
  <si>
    <t>Recolector</t>
  </si>
  <si>
    <t>HKDZ-16</t>
  </si>
  <si>
    <t>Tracto</t>
  </si>
  <si>
    <t>HKSR-90</t>
  </si>
  <si>
    <t>HSRD-76</t>
  </si>
  <si>
    <t>Camioneta</t>
  </si>
  <si>
    <t>HYHH-37</t>
  </si>
  <si>
    <t>HYPL-68</t>
  </si>
  <si>
    <t>JTDB-85</t>
  </si>
  <si>
    <t>JTGF-55</t>
  </si>
  <si>
    <t>JTHB-83</t>
  </si>
  <si>
    <t>JYTZ-31</t>
  </si>
  <si>
    <t>KJHT-20</t>
  </si>
  <si>
    <t>Camion 3/4</t>
  </si>
  <si>
    <t>KYZK-42</t>
  </si>
  <si>
    <t>LCWT-54</t>
  </si>
  <si>
    <t>LHZV-54</t>
  </si>
  <si>
    <t>PJZC-98</t>
  </si>
  <si>
    <t>PLFK-85</t>
  </si>
  <si>
    <t>Atmosférico</t>
  </si>
  <si>
    <t>RDKV-41</t>
  </si>
  <si>
    <t>RHLV-47</t>
  </si>
  <si>
    <t>KAUFMANN</t>
  </si>
  <si>
    <t>RJBB-83</t>
  </si>
  <si>
    <t>RLRW-87</t>
  </si>
  <si>
    <t>RSFS-80</t>
  </si>
  <si>
    <t>RZZY-60</t>
  </si>
  <si>
    <t>SCANIA</t>
  </si>
  <si>
    <t>RZZY-61</t>
  </si>
  <si>
    <t>SZHV-58</t>
  </si>
  <si>
    <t>TJHG-27</t>
  </si>
  <si>
    <t>TPBB-73</t>
  </si>
  <si>
    <t>TTPB-16</t>
  </si>
  <si>
    <t>TVGF-44</t>
  </si>
  <si>
    <t>TZDL-59</t>
  </si>
  <si>
    <t>VHTB-18</t>
  </si>
  <si>
    <t>VHTB-19</t>
  </si>
  <si>
    <t>Patente</t>
  </si>
  <si>
    <t>medida</t>
  </si>
  <si>
    <t>Fecha</t>
  </si>
  <si>
    <t>odómetro</t>
  </si>
  <si>
    <t>DVKG-86</t>
  </si>
  <si>
    <t>FYLG-34</t>
  </si>
  <si>
    <t>JTGF-56</t>
  </si>
  <si>
    <t>HKFT-11</t>
  </si>
  <si>
    <t>FDLR-10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</si>
</sst>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\-yyyy;@"/>
    <numFmt numFmtId="165" formatCode="#,##0.000000"/>
    <numFmt numFmtId="166" formatCode="[$-F400]h:mm:ss\ AM/PM"/>
  </numFmts>
  <fonts count="21">
    <font>
      <sz val="11"/>
      <color theme="1"/>
      <name val="Calibri"/>
      <family val="2"/>
      <scheme val="minor"/>
    </font>
    <font>
      <sz val="20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  <font>
      <b/>
      <sz val="20"/>
      <color theme="1"/>
      <name val="Arial"/>
      <family val="2"/>
    </font>
    <font>
      <b/>
      <sz val="12"/>
      <color theme="0"/>
      <name val="Arial"/>
      <family val="2"/>
    </font>
    <font>
      <sz val="16"/>
      <color theme="1"/>
      <name val="Arial"/>
      <family val="2"/>
    </font>
    <font>
      <b/>
      <sz val="16"/>
      <color theme="1"/>
      <name val="Arial"/>
      <family val="2"/>
    </font>
    <font>
      <b/>
      <sz val="24"/>
      <color theme="1"/>
      <name val="Arial"/>
      <family val="2"/>
    </font>
    <font>
      <b/>
      <sz val="14"/>
      <color theme="0"/>
      <name val="Arial"/>
      <family val="2"/>
    </font>
    <font>
      <sz val="12"/>
      <color theme="0"/>
      <name val="Arial"/>
      <family val="2"/>
    </font>
    <font>
      <b/>
      <sz val="11"/>
      <color theme="0"/>
      <name val="Arial"/>
      <family val="2"/>
    </font>
    <font>
      <sz val="11"/>
      <color theme="1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u/>
      <sz val="11"/>
      <color theme="10"/>
      <name val="Calibri"/>
      <family val="2"/>
      <scheme val="minor"/>
    </font>
    <font>
      <b/>
      <u/>
      <sz val="16"/>
      <name val="Arial"/>
      <family val="2"/>
    </font>
    <font>
      <b/>
      <sz val="18"/>
      <color theme="1"/>
      <name val="Arial"/>
      <family val="2"/>
    </font>
    <font>
      <b/>
      <sz val="23"/>
      <color theme="1"/>
      <name val="Arial"/>
      <family val="2"/>
    </font>
    <font>
      <b/>
      <sz val="18"/>
      <color theme="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16" fillId="0" borderId="0" applyNumberFormat="0" applyFill="0" applyBorder="0" applyAlignment="0" applyProtection="0"/>
  </cellStyleXfs>
  <cellXfs count="88">
    <xf numFmtId="0" fontId="0" fillId="0" borderId="0" xfId="0"/>
    <xf numFmtId="0" fontId="2" fillId="0" borderId="0" xfId="0" applyFont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5" fillId="0" borderId="0" xfId="0" applyFont="1" applyAlignment="1">
      <alignment vertical="center"/>
    </xf>
    <xf numFmtId="164" fontId="4" fillId="0" borderId="1" xfId="0" applyNumberFormat="1" applyFont="1" applyBorder="1" applyAlignment="1">
      <alignment vertical="center"/>
    </xf>
    <xf numFmtId="0" fontId="7" fillId="0" borderId="1" xfId="0" applyFont="1" applyBorder="1" applyAlignment="1">
      <alignment vertical="center"/>
    </xf>
    <xf numFmtId="3" fontId="7" fillId="0" borderId="1" xfId="0" applyNumberFormat="1" applyFont="1" applyBorder="1" applyAlignment="1">
      <alignment vertical="center"/>
    </xf>
    <xf numFmtId="3" fontId="7" fillId="3" borderId="1" xfId="0" applyNumberFormat="1" applyFont="1" applyFill="1" applyBorder="1" applyAlignment="1">
      <alignment vertical="center"/>
    </xf>
    <xf numFmtId="3" fontId="2" fillId="3" borderId="4" xfId="0" applyNumberFormat="1" applyFont="1" applyFill="1" applyBorder="1" applyAlignment="1">
      <alignment vertical="center"/>
    </xf>
    <xf numFmtId="3" fontId="8" fillId="3" borderId="1" xfId="0" applyNumberFormat="1" applyFont="1" applyFill="1" applyBorder="1" applyAlignment="1">
      <alignment vertical="center"/>
    </xf>
    <xf numFmtId="0" fontId="7" fillId="0" borderId="0" xfId="0" applyFont="1" applyAlignment="1">
      <alignment vertical="center"/>
    </xf>
    <xf numFmtId="0" fontId="6" fillId="4" borderId="2" xfId="0" applyFont="1" applyFill="1" applyBorder="1" applyAlignment="1">
      <alignment horizontal="center" vertical="center"/>
    </xf>
    <xf numFmtId="0" fontId="11" fillId="4" borderId="4" xfId="0" applyFont="1" applyFill="1" applyBorder="1" applyAlignment="1">
      <alignment horizontal="center" vertical="center"/>
    </xf>
    <xf numFmtId="3" fontId="2" fillId="0" borderId="4" xfId="0" applyNumberFormat="1" applyFont="1" applyBorder="1" applyAlignment="1">
      <alignment vertical="center"/>
    </xf>
    <xf numFmtId="49" fontId="2" fillId="0" borderId="4" xfId="0" applyNumberFormat="1" applyFont="1" applyBorder="1" applyAlignment="1">
      <alignment vertical="center"/>
    </xf>
    <xf numFmtId="0" fontId="13" fillId="0" borderId="4" xfId="0" applyFont="1" applyBorder="1" applyAlignment="1">
      <alignment vertical="center"/>
    </xf>
    <xf numFmtId="3" fontId="13" fillId="0" borderId="4" xfId="0" applyNumberFormat="1" applyFont="1" applyBorder="1" applyAlignment="1">
      <alignment vertical="center"/>
    </xf>
    <xf numFmtId="0" fontId="12" fillId="4" borderId="3" xfId="0" applyFont="1" applyFill="1" applyBorder="1" applyAlignment="1">
      <alignment horizontal="left" vertical="center" wrapText="1"/>
    </xf>
    <xf numFmtId="0" fontId="12" fillId="4" borderId="11" xfId="0" applyFont="1" applyFill="1" applyBorder="1" applyAlignment="1">
      <alignment horizontal="left" vertical="center" wrapText="1"/>
    </xf>
    <xf numFmtId="0" fontId="13" fillId="0" borderId="0" xfId="0" applyFont="1"/>
    <xf numFmtId="0" fontId="13" fillId="0" borderId="4" xfId="0" applyFont="1" applyBorder="1"/>
    <xf numFmtId="14" fontId="13" fillId="0" borderId="4" xfId="0" applyNumberFormat="1" applyFont="1" applyBorder="1"/>
    <xf numFmtId="3" fontId="13" fillId="0" borderId="4" xfId="0" applyNumberFormat="1" applyFont="1" applyBorder="1"/>
    <xf numFmtId="14" fontId="13" fillId="0" borderId="4" xfId="0" applyNumberFormat="1" applyFont="1" applyBorder="1" applyAlignment="1">
      <alignment vertical="center"/>
    </xf>
    <xf numFmtId="14" fontId="13" fillId="0" borderId="0" xfId="0" applyNumberFormat="1" applyFont="1"/>
    <xf numFmtId="0" fontId="2" fillId="0" borderId="4" xfId="0" applyFont="1" applyBorder="1" applyAlignment="1">
      <alignment horizontal="center" vertical="center"/>
    </xf>
    <xf numFmtId="1" fontId="2" fillId="0" borderId="4" xfId="0" applyNumberFormat="1" applyFont="1" applyBorder="1" applyAlignment="1">
      <alignment horizontal="center" vertical="center"/>
    </xf>
    <xf numFmtId="165" fontId="2" fillId="0" borderId="4" xfId="0" applyNumberFormat="1" applyFont="1" applyBorder="1" applyAlignment="1">
      <alignment horizontal="center" vertical="center"/>
    </xf>
    <xf numFmtId="3" fontId="2" fillId="0" borderId="4" xfId="0" applyNumberFormat="1" applyFont="1" applyBorder="1" applyAlignment="1">
      <alignment horizontal="center" vertical="center"/>
    </xf>
    <xf numFmtId="3" fontId="13" fillId="0" borderId="0" xfId="0" applyNumberFormat="1" applyFont="1"/>
    <xf numFmtId="3" fontId="10" fillId="2" borderId="1" xfId="0" applyNumberFormat="1" applyFont="1" applyFill="1" applyBorder="1" applyAlignment="1">
      <alignment horizontal="right" vertical="center"/>
    </xf>
    <xf numFmtId="3" fontId="4" fillId="0" borderId="1" xfId="0" applyNumberFormat="1" applyFont="1" applyBorder="1" applyAlignment="1">
      <alignment vertical="center"/>
    </xf>
    <xf numFmtId="3" fontId="8" fillId="0" borderId="1" xfId="0" applyNumberFormat="1" applyFont="1" applyBorder="1" applyAlignment="1">
      <alignment vertical="center"/>
    </xf>
    <xf numFmtId="14" fontId="4" fillId="0" borderId="1" xfId="0" applyNumberFormat="1" applyFont="1" applyBorder="1" applyAlignment="1">
      <alignment vertical="center"/>
    </xf>
    <xf numFmtId="164" fontId="4" fillId="0" borderId="1" xfId="0" applyNumberFormat="1" applyFont="1" applyBorder="1" applyAlignment="1">
      <alignment horizontal="right" vertical="center"/>
    </xf>
    <xf numFmtId="0" fontId="2" fillId="0" borderId="5" xfId="0" applyFont="1" applyBorder="1" applyAlignment="1">
      <alignment vertical="center"/>
    </xf>
    <xf numFmtId="3" fontId="8" fillId="0" borderId="2" xfId="0" applyNumberFormat="1" applyFont="1" applyBorder="1" applyAlignment="1">
      <alignment vertical="center"/>
    </xf>
    <xf numFmtId="3" fontId="17" fillId="0" borderId="1" xfId="1" applyNumberFormat="1" applyFont="1" applyFill="1" applyBorder="1" applyAlignment="1">
      <alignment vertical="center"/>
    </xf>
    <xf numFmtId="3" fontId="8" fillId="0" borderId="5" xfId="0" applyNumberFormat="1" applyFont="1" applyBorder="1" applyAlignment="1">
      <alignment vertical="center"/>
    </xf>
    <xf numFmtId="164" fontId="4" fillId="0" borderId="2" xfId="0" applyNumberFormat="1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7" fillId="0" borderId="3" xfId="0" applyFont="1" applyBorder="1" applyAlignment="1">
      <alignment vertical="center"/>
    </xf>
    <xf numFmtId="3" fontId="7" fillId="0" borderId="3" xfId="0" applyNumberFormat="1" applyFont="1" applyBorder="1" applyAlignment="1">
      <alignment vertical="center"/>
    </xf>
    <xf numFmtId="3" fontId="4" fillId="0" borderId="3" xfId="0" applyNumberFormat="1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3" fontId="7" fillId="0" borderId="4" xfId="0" applyNumberFormat="1" applyFont="1" applyBorder="1" applyAlignment="1">
      <alignment vertical="center"/>
    </xf>
    <xf numFmtId="14" fontId="4" fillId="0" borderId="4" xfId="0" applyNumberFormat="1" applyFont="1" applyBorder="1" applyAlignment="1">
      <alignment vertical="center"/>
    </xf>
    <xf numFmtId="3" fontId="4" fillId="0" borderId="4" xfId="0" applyNumberFormat="1" applyFont="1" applyBorder="1" applyAlignment="1">
      <alignment vertical="center"/>
    </xf>
    <xf numFmtId="0" fontId="2" fillId="0" borderId="6" xfId="0" applyFont="1" applyBorder="1" applyAlignment="1">
      <alignment vertical="center"/>
    </xf>
    <xf numFmtId="164" fontId="4" fillId="0" borderId="4" xfId="0" applyNumberFormat="1" applyFont="1" applyBorder="1" applyAlignment="1">
      <alignment vertical="center"/>
    </xf>
    <xf numFmtId="0" fontId="10" fillId="4" borderId="1" xfId="0" applyFont="1" applyFill="1" applyBorder="1" applyAlignment="1">
      <alignment horizontal="left" vertical="center" wrapText="1"/>
    </xf>
    <xf numFmtId="2" fontId="2" fillId="0" borderId="4" xfId="0" applyNumberFormat="1" applyFont="1" applyBorder="1" applyAlignment="1">
      <alignment horizontal="center" vertical="center"/>
    </xf>
    <xf numFmtId="3" fontId="2" fillId="2" borderId="4" xfId="0" applyNumberFormat="1" applyFont="1" applyFill="1" applyBorder="1" applyAlignment="1">
      <alignment horizontal="center" vertical="center"/>
    </xf>
    <xf numFmtId="3" fontId="4" fillId="0" borderId="2" xfId="0" applyNumberFormat="1" applyFont="1" applyBorder="1" applyAlignment="1">
      <alignment vertical="center"/>
    </xf>
    <xf numFmtId="3" fontId="8" fillId="0" borderId="7" xfId="0" applyNumberFormat="1" applyFont="1" applyBorder="1" applyAlignment="1">
      <alignment vertical="center"/>
    </xf>
    <xf numFmtId="3" fontId="8" fillId="0" borderId="4" xfId="0" applyNumberFormat="1" applyFont="1" applyBorder="1" applyAlignment="1">
      <alignment vertical="center"/>
    </xf>
    <xf numFmtId="0" fontId="18" fillId="0" borderId="0" xfId="0" applyFont="1" applyAlignment="1">
      <alignment horizontal="right" vertical="top"/>
    </xf>
    <xf numFmtId="14" fontId="18" fillId="0" borderId="0" xfId="0" applyNumberFormat="1" applyFont="1" applyAlignment="1">
      <alignment horizontal="left" vertical="top"/>
    </xf>
    <xf numFmtId="0" fontId="9" fillId="0" borderId="8" xfId="0" applyFont="1" applyBorder="1" applyAlignment="1">
      <alignment vertical="center"/>
    </xf>
    <xf numFmtId="0" fontId="9" fillId="0" borderId="10" xfId="0" applyFont="1" applyBorder="1" applyAlignment="1">
      <alignment vertical="center"/>
    </xf>
    <xf numFmtId="0" fontId="10" fillId="5" borderId="9" xfId="0" applyFont="1" applyFill="1" applyBorder="1" applyAlignment="1">
      <alignment horizontal="left" vertical="center" wrapText="1"/>
    </xf>
    <xf numFmtId="0" fontId="19" fillId="0" borderId="8" xfId="0" applyFont="1" applyBorder="1" applyAlignment="1">
      <alignment vertical="center"/>
    </xf>
    <xf numFmtId="0" fontId="10" fillId="6" borderId="9" xfId="0" applyFont="1" applyFill="1" applyBorder="1" applyAlignment="1">
      <alignment horizontal="left" vertical="center" wrapText="1"/>
    </xf>
    <xf numFmtId="166" fontId="4" fillId="0" borderId="1" xfId="0" applyNumberFormat="1" applyFont="1" applyBorder="1" applyAlignment="1">
      <alignment vertical="center"/>
    </xf>
    <xf numFmtId="166" fontId="4" fillId="0" borderId="1" xfId="0" applyNumberFormat="1" applyFont="1" applyBorder="1" applyAlignment="1">
      <alignment horizontal="right" vertical="center"/>
    </xf>
    <xf numFmtId="166" fontId="4" fillId="0" borderId="2" xfId="0" applyNumberFormat="1" applyFont="1" applyBorder="1" applyAlignment="1">
      <alignment vertical="center"/>
    </xf>
    <xf numFmtId="166" fontId="4" fillId="0" borderId="3" xfId="0" applyNumberFormat="1" applyFont="1" applyBorder="1" applyAlignment="1">
      <alignment vertical="center"/>
    </xf>
    <xf numFmtId="166" fontId="4" fillId="0" borderId="4" xfId="0" applyNumberFormat="1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4" fillId="7" borderId="1" xfId="0" applyFont="1" applyFill="1" applyBorder="1" applyAlignment="1">
      <alignment vertical="center"/>
    </xf>
    <xf numFmtId="0" fontId="4" fillId="3" borderId="4" xfId="0" applyFont="1" applyFill="1" applyBorder="1" applyAlignment="1">
      <alignment vertical="center"/>
    </xf>
    <xf numFmtId="0" fontId="7" fillId="3" borderId="4" xfId="0" applyFont="1" applyFill="1" applyBorder="1" applyAlignment="1">
      <alignment vertical="center"/>
    </xf>
    <xf numFmtId="3" fontId="7" fillId="3" borderId="4" xfId="0" applyNumberFormat="1" applyFont="1" applyFill="1" applyBorder="1" applyAlignment="1">
      <alignment vertical="center"/>
    </xf>
    <xf numFmtId="14" fontId="4" fillId="0" borderId="3" xfId="0" applyNumberFormat="1" applyFont="1" applyBorder="1" applyAlignment="1">
      <alignment vertical="center"/>
    </xf>
    <xf numFmtId="3" fontId="4" fillId="3" borderId="4" xfId="0" applyNumberFormat="1" applyFont="1" applyFill="1" applyBorder="1" applyAlignment="1">
      <alignment vertical="center"/>
    </xf>
    <xf numFmtId="0" fontId="2" fillId="3" borderId="6" xfId="0" applyFont="1" applyFill="1" applyBorder="1" applyAlignment="1">
      <alignment vertical="center"/>
    </xf>
    <xf numFmtId="14" fontId="4" fillId="3" borderId="4" xfId="0" applyNumberFormat="1" applyFont="1" applyFill="1" applyBorder="1" applyAlignment="1">
      <alignment vertical="center"/>
    </xf>
    <xf numFmtId="20" fontId="4" fillId="3" borderId="4" xfId="0" applyNumberFormat="1" applyFont="1" applyFill="1" applyBorder="1" applyAlignment="1">
      <alignment vertical="center"/>
    </xf>
    <xf numFmtId="0" fontId="20" fillId="4" borderId="4" xfId="0" applyFont="1" applyFill="1" applyBorder="1" applyAlignment="1">
      <alignment horizontal="center" vertical="center"/>
    </xf>
  </cellXfs>
  <cellStyles count="2">
    <cellStyle name="Hipervínculo" xfId="1" builtinId="8"/>
    <cellStyle name="Normal" xfId="0" builtinId="0"/>
  </cellStyles>
  <dxfs count="1">
    <dxf>
      <fill>
        <patternFill>
          <bgColor rgb="FFFF9797"/>
        </patternFill>
      </fill>
    </dxf>
  </dxfs>
  <tableStyles count="0" defaultTableStyle="TableStyleMedium2" defaultPivotStyle="PivotStyleLight16"/>
  <colors>
    <mruColors>
      <color rgb="FFFF979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111034</xdr:colOff>
      <xdr:row>1</xdr:row>
      <xdr:rowOff>66675</xdr:rowOff>
    </xdr:from>
    <xdr:to>
      <xdr:col>4</xdr:col>
      <xdr:colOff>154303</xdr:colOff>
      <xdr:row>1</xdr:row>
      <xdr:rowOff>358140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44FF80F-FCCF-2E2F-A1C0-7BE8AE6DFE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58984" y="257175"/>
          <a:ext cx="1395819" cy="283845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Ignacio Hueichan C." id="{07C0ED7C-48E5-47C7-AAD2-296F5317ADBE}" userId="S::asistente.logistica@tresol.cl::7a5846c7-8806-4b0e-8600-ed15fc9767a6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37" dT="2025-07-31T18:41:56.40" personId="{07C0ED7C-48E5-47C7-AAD2-296F5317ADBE}" id="{42C2410F-4A75-45E6-9105-7CBCA33586F1}">
    <text>Odómetro malo, se lleva control con gps.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U51"/>
  <sheetViews>
    <sheetView showGridLines="0" tabSelected="1" zoomScale="80" zoomScaleNormal="80" workbookViewId="0">
      <pane ySplit="4" topLeftCell="A9" activePane="bottomLeft" state="frozen"/>
      <selection pane="bottomLeft" activeCell="I20" sqref="I20"/>
    </sheetView>
  </sheetViews>
  <sheetFormatPr defaultColWidth="8.85546875" defaultRowHeight="20.25"/>
  <cols>
    <col min="1" max="1" width="8.85546875" style="1"/>
    <col min="2" max="2" width="12.7109375" style="7" customWidth="1"/>
    <col min="3" max="3" width="16.85546875" style="1" customWidth="1"/>
    <col min="4" max="4" width="19.7109375" style="1" bestFit="1" customWidth="1"/>
    <col min="5" max="5" width="16.7109375" style="1" bestFit="1" customWidth="1"/>
    <col min="6" max="6" width="16.7109375" style="1" customWidth="1"/>
    <col min="7" max="7" width="16" style="1" bestFit="1" customWidth="1"/>
    <col min="8" max="8" width="16" style="1" customWidth="1"/>
    <col min="9" max="9" width="25.42578125" style="1" bestFit="1" customWidth="1"/>
    <col min="10" max="10" width="23.42578125" style="16" bestFit="1" customWidth="1"/>
    <col min="11" max="11" width="15.85546875" style="1" bestFit="1" customWidth="1"/>
    <col min="12" max="13" width="28" style="1" bestFit="1" customWidth="1"/>
    <col min="14" max="14" width="18.85546875" style="1" bestFit="1" customWidth="1"/>
    <col min="15" max="15" width="10.28515625" style="1" bestFit="1" customWidth="1"/>
    <col min="16" max="16" width="8.85546875" style="1"/>
    <col min="17" max="17" width="13.42578125" style="1" customWidth="1"/>
    <col min="18" max="18" width="13.28515625" style="1" customWidth="1"/>
    <col min="19" max="19" width="8.85546875" style="1"/>
    <col min="20" max="20" width="14.5703125" style="1" customWidth="1"/>
    <col min="21" max="21" width="15.28515625" style="1" bestFit="1" customWidth="1"/>
    <col min="22" max="16384" width="8.85546875" style="1"/>
  </cols>
  <sheetData>
    <row r="1" spans="2:21" ht="15">
      <c r="J1" s="1"/>
    </row>
    <row r="2" spans="2:21" ht="30" customHeight="1">
      <c r="C2" s="9"/>
      <c r="D2" s="4"/>
      <c r="E2" s="4"/>
      <c r="F2" s="4"/>
      <c r="G2" s="4"/>
      <c r="H2" s="4"/>
      <c r="I2" s="64" t="s">
        <v>0</v>
      </c>
      <c r="J2" s="65">
        <f ca="1">TODAY()</f>
        <v>46042</v>
      </c>
      <c r="K2" s="4"/>
      <c r="Q2" s="31" t="s">
        <v>1</v>
      </c>
      <c r="R2" s="31" t="s">
        <v>2</v>
      </c>
      <c r="T2" s="31" t="s">
        <v>2</v>
      </c>
      <c r="U2" s="31" t="s">
        <v>1</v>
      </c>
    </row>
    <row r="3" spans="2:21" ht="30" customHeight="1">
      <c r="B3" s="66"/>
      <c r="C3" s="69" t="s">
        <v>3</v>
      </c>
      <c r="D3" s="66"/>
      <c r="E3" s="66"/>
      <c r="F3" s="67"/>
      <c r="G3" s="87" t="s">
        <v>4</v>
      </c>
      <c r="H3" s="87"/>
      <c r="I3" s="87"/>
      <c r="J3" s="87"/>
      <c r="Q3" s="32">
        <v>1</v>
      </c>
      <c r="R3" s="33">
        <v>1.6093440000000001</v>
      </c>
      <c r="T3" s="60">
        <v>15000</v>
      </c>
      <c r="U3" s="59">
        <f>T3/R3</f>
        <v>9320.5678835600083</v>
      </c>
    </row>
    <row r="4" spans="2:21" ht="34.9" customHeight="1">
      <c r="B4" s="8" t="s">
        <v>5</v>
      </c>
      <c r="C4" s="58" t="s">
        <v>6</v>
      </c>
      <c r="D4" s="58" t="s">
        <v>7</v>
      </c>
      <c r="E4" s="58" t="s">
        <v>8</v>
      </c>
      <c r="F4" s="58" t="s">
        <v>9</v>
      </c>
      <c r="G4" s="70" t="s">
        <v>10</v>
      </c>
      <c r="H4" s="70" t="s">
        <v>11</v>
      </c>
      <c r="I4" s="70" t="s">
        <v>12</v>
      </c>
      <c r="J4" s="68" t="s">
        <v>13</v>
      </c>
      <c r="K4" s="17" t="s">
        <v>14</v>
      </c>
      <c r="L4" s="18" t="s">
        <v>15</v>
      </c>
      <c r="M4" s="18" t="s">
        <v>16</v>
      </c>
      <c r="N4" s="18" t="s">
        <v>17</v>
      </c>
      <c r="Q4" s="34">
        <f>$I$37</f>
        <v>20000</v>
      </c>
      <c r="R4" s="34">
        <f>Q4*R3</f>
        <v>32186.880000000001</v>
      </c>
      <c r="T4" s="34">
        <f>U4*R3</f>
        <v>360971.03116800002</v>
      </c>
      <c r="U4" s="60">
        <v>224297</v>
      </c>
    </row>
    <row r="5" spans="2:21" ht="30" customHeight="1">
      <c r="B5" s="6">
        <v>2</v>
      </c>
      <c r="C5" s="78" t="s">
        <v>18</v>
      </c>
      <c r="D5" s="11" t="s">
        <v>19</v>
      </c>
      <c r="E5" s="12">
        <v>15000</v>
      </c>
      <c r="F5" s="12" t="s">
        <v>20</v>
      </c>
      <c r="G5" s="10">
        <v>45712</v>
      </c>
      <c r="H5" s="71"/>
      <c r="I5" s="36">
        <v>15235</v>
      </c>
      <c r="J5" s="36">
        <f>I5+E5</f>
        <v>30235</v>
      </c>
      <c r="K5" s="3" t="s">
        <v>21</v>
      </c>
      <c r="L5" s="2"/>
      <c r="M5" s="19">
        <f t="shared" ref="M5:M22" si="0">J5-L5</f>
        <v>30235</v>
      </c>
      <c r="N5" s="20" t="s">
        <v>22</v>
      </c>
    </row>
    <row r="6" spans="2:21" ht="30" customHeight="1">
      <c r="B6" s="6">
        <v>3</v>
      </c>
      <c r="C6" s="5" t="s">
        <v>23</v>
      </c>
      <c r="D6" s="11" t="s">
        <v>19</v>
      </c>
      <c r="E6" s="12">
        <v>10000</v>
      </c>
      <c r="F6" s="12" t="s">
        <v>20</v>
      </c>
      <c r="G6" s="10"/>
      <c r="H6" s="71"/>
      <c r="I6" s="37">
        <v>432218</v>
      </c>
      <c r="J6" s="38">
        <f>I6+E6</f>
        <v>442218</v>
      </c>
      <c r="K6" s="3" t="s">
        <v>24</v>
      </c>
      <c r="L6" s="2"/>
      <c r="M6" s="19">
        <f t="shared" si="0"/>
        <v>442218</v>
      </c>
      <c r="N6" s="20" t="s">
        <v>22</v>
      </c>
    </row>
    <row r="7" spans="2:21" ht="30" customHeight="1">
      <c r="B7" s="6">
        <v>5</v>
      </c>
      <c r="C7" s="5" t="s">
        <v>25</v>
      </c>
      <c r="D7" s="11" t="s">
        <v>26</v>
      </c>
      <c r="E7" s="12">
        <v>15000</v>
      </c>
      <c r="F7" s="12" t="s">
        <v>20</v>
      </c>
      <c r="G7" s="5"/>
      <c r="H7" s="5"/>
      <c r="I7" s="37" t="s">
        <v>27</v>
      </c>
      <c r="J7" s="38">
        <v>15000</v>
      </c>
      <c r="K7" s="3" t="s">
        <v>21</v>
      </c>
      <c r="L7" s="19"/>
      <c r="M7" s="19">
        <f t="shared" si="0"/>
        <v>15000</v>
      </c>
      <c r="N7" s="20" t="s">
        <v>28</v>
      </c>
    </row>
    <row r="8" spans="2:21" ht="30" customHeight="1">
      <c r="B8" s="6">
        <v>6</v>
      </c>
      <c r="C8" s="5" t="s">
        <v>29</v>
      </c>
      <c r="D8" s="11" t="s">
        <v>30</v>
      </c>
      <c r="E8" s="12">
        <v>15000</v>
      </c>
      <c r="F8" s="12" t="s">
        <v>20</v>
      </c>
      <c r="G8" s="39">
        <v>45687</v>
      </c>
      <c r="H8" s="71"/>
      <c r="I8" s="37">
        <v>529096</v>
      </c>
      <c r="J8" s="38">
        <f t="shared" ref="J8:J22" si="1">I8+E8</f>
        <v>544096</v>
      </c>
      <c r="K8" s="3" t="s">
        <v>21</v>
      </c>
      <c r="L8" s="2"/>
      <c r="M8" s="19">
        <f t="shared" si="0"/>
        <v>544096</v>
      </c>
      <c r="N8" s="20" t="s">
        <v>22</v>
      </c>
    </row>
    <row r="9" spans="2:21" ht="30" customHeight="1">
      <c r="B9" s="6">
        <v>8</v>
      </c>
      <c r="C9" s="5" t="s">
        <v>31</v>
      </c>
      <c r="D9" s="11" t="s">
        <v>32</v>
      </c>
      <c r="E9" s="12">
        <v>15000</v>
      </c>
      <c r="F9" s="12" t="s">
        <v>20</v>
      </c>
      <c r="G9" s="39">
        <v>45966</v>
      </c>
      <c r="H9" s="71"/>
      <c r="I9" s="37">
        <v>559206</v>
      </c>
      <c r="J9" s="38">
        <f t="shared" si="1"/>
        <v>574206</v>
      </c>
      <c r="K9" s="3" t="s">
        <v>21</v>
      </c>
      <c r="L9" s="2"/>
      <c r="M9" s="19">
        <f t="shared" si="0"/>
        <v>574206</v>
      </c>
      <c r="N9" s="20" t="s">
        <v>22</v>
      </c>
    </row>
    <row r="10" spans="2:21" ht="30" customHeight="1">
      <c r="B10" s="6">
        <v>10</v>
      </c>
      <c r="C10" s="5" t="s">
        <v>33</v>
      </c>
      <c r="D10" s="11" t="s">
        <v>19</v>
      </c>
      <c r="E10" s="12">
        <v>15000</v>
      </c>
      <c r="F10" s="12" t="s">
        <v>20</v>
      </c>
      <c r="G10" s="40">
        <v>45910</v>
      </c>
      <c r="H10" s="72"/>
      <c r="I10" s="37">
        <v>729665</v>
      </c>
      <c r="J10" s="38">
        <f t="shared" si="1"/>
        <v>744665</v>
      </c>
      <c r="K10" s="3" t="s">
        <v>21</v>
      </c>
      <c r="L10" s="2"/>
      <c r="M10" s="19">
        <f t="shared" si="0"/>
        <v>744665</v>
      </c>
      <c r="N10" s="20" t="s">
        <v>22</v>
      </c>
    </row>
    <row r="11" spans="2:21" ht="30" customHeight="1">
      <c r="B11" s="6">
        <v>11</v>
      </c>
      <c r="C11" s="5" t="s">
        <v>34</v>
      </c>
      <c r="D11" s="11" t="s">
        <v>35</v>
      </c>
      <c r="E11" s="12">
        <v>10000</v>
      </c>
      <c r="F11" s="12" t="s">
        <v>20</v>
      </c>
      <c r="G11" s="10">
        <v>45671</v>
      </c>
      <c r="H11" s="71"/>
      <c r="I11" s="37">
        <v>326496</v>
      </c>
      <c r="J11" s="38">
        <f t="shared" si="1"/>
        <v>336496</v>
      </c>
      <c r="K11" s="3" t="s">
        <v>21</v>
      </c>
      <c r="L11" s="2"/>
      <c r="M11" s="19">
        <f t="shared" si="0"/>
        <v>336496</v>
      </c>
      <c r="N11" s="20" t="s">
        <v>22</v>
      </c>
    </row>
    <row r="12" spans="2:21" ht="30" customHeight="1">
      <c r="B12" s="6">
        <v>12</v>
      </c>
      <c r="C12" s="5" t="s">
        <v>36</v>
      </c>
      <c r="D12" s="11" t="s">
        <v>19</v>
      </c>
      <c r="E12" s="12">
        <v>15000</v>
      </c>
      <c r="F12" s="12" t="s">
        <v>20</v>
      </c>
      <c r="G12" s="10">
        <v>45799</v>
      </c>
      <c r="H12" s="71"/>
      <c r="I12" s="37">
        <v>565060</v>
      </c>
      <c r="J12" s="38">
        <f t="shared" si="1"/>
        <v>580060</v>
      </c>
      <c r="K12" s="3" t="s">
        <v>21</v>
      </c>
      <c r="L12" s="2"/>
      <c r="M12" s="19">
        <f t="shared" si="0"/>
        <v>580060</v>
      </c>
      <c r="N12" s="20" t="s">
        <v>22</v>
      </c>
    </row>
    <row r="13" spans="2:21" ht="30" customHeight="1">
      <c r="B13" s="6">
        <v>13</v>
      </c>
      <c r="C13" s="5" t="s">
        <v>37</v>
      </c>
      <c r="D13" s="11" t="s">
        <v>32</v>
      </c>
      <c r="E13" s="12">
        <v>15000</v>
      </c>
      <c r="F13" s="12" t="s">
        <v>20</v>
      </c>
      <c r="G13" s="40">
        <v>45994</v>
      </c>
      <c r="H13" s="72">
        <v>0.75138888888888888</v>
      </c>
      <c r="I13" s="37">
        <v>604917</v>
      </c>
      <c r="J13" s="38">
        <f t="shared" si="1"/>
        <v>619917</v>
      </c>
      <c r="K13" s="3" t="s">
        <v>21</v>
      </c>
      <c r="L13" s="2"/>
      <c r="M13" s="19">
        <f t="shared" si="0"/>
        <v>619917</v>
      </c>
      <c r="N13" s="20" t="s">
        <v>22</v>
      </c>
    </row>
    <row r="14" spans="2:21" ht="30" customHeight="1">
      <c r="B14" s="6">
        <v>14</v>
      </c>
      <c r="C14" s="5" t="s">
        <v>38</v>
      </c>
      <c r="D14" s="11" t="s">
        <v>30</v>
      </c>
      <c r="E14" s="12">
        <v>15000</v>
      </c>
      <c r="F14" s="12" t="s">
        <v>20</v>
      </c>
      <c r="G14" s="10">
        <v>45975</v>
      </c>
      <c r="H14" s="71">
        <v>0.57638888888888884</v>
      </c>
      <c r="I14" s="37">
        <v>663793</v>
      </c>
      <c r="J14" s="38">
        <f t="shared" si="1"/>
        <v>678793</v>
      </c>
      <c r="K14" s="3" t="s">
        <v>21</v>
      </c>
      <c r="L14" s="2"/>
      <c r="M14" s="19">
        <f t="shared" si="0"/>
        <v>678793</v>
      </c>
      <c r="N14" s="20" t="s">
        <v>22</v>
      </c>
    </row>
    <row r="15" spans="2:21" ht="30" customHeight="1">
      <c r="B15" s="6">
        <v>15</v>
      </c>
      <c r="C15" s="5" t="s">
        <v>39</v>
      </c>
      <c r="D15" s="11" t="s">
        <v>19</v>
      </c>
      <c r="E15" s="12">
        <v>15000</v>
      </c>
      <c r="F15" s="12" t="s">
        <v>20</v>
      </c>
      <c r="G15" s="10">
        <v>45685</v>
      </c>
      <c r="H15" s="71"/>
      <c r="I15" s="37">
        <v>442965</v>
      </c>
      <c r="J15" s="38">
        <f t="shared" si="1"/>
        <v>457965</v>
      </c>
      <c r="K15" s="3" t="s">
        <v>21</v>
      </c>
      <c r="L15" s="2"/>
      <c r="M15" s="19">
        <f t="shared" si="0"/>
        <v>457965</v>
      </c>
      <c r="N15" s="20" t="s">
        <v>22</v>
      </c>
    </row>
    <row r="16" spans="2:21" ht="30" customHeight="1">
      <c r="B16" s="6">
        <v>17</v>
      </c>
      <c r="C16" s="5" t="s">
        <v>40</v>
      </c>
      <c r="D16" s="11" t="s">
        <v>32</v>
      </c>
      <c r="E16" s="12">
        <v>15000</v>
      </c>
      <c r="F16" s="12" t="s">
        <v>20</v>
      </c>
      <c r="G16" s="10">
        <v>46037</v>
      </c>
      <c r="H16" s="71">
        <v>0.66666666666666663</v>
      </c>
      <c r="I16" s="37">
        <v>895272</v>
      </c>
      <c r="J16" s="38">
        <f t="shared" si="1"/>
        <v>910272</v>
      </c>
      <c r="K16" s="3" t="s">
        <v>21</v>
      </c>
      <c r="L16" s="2"/>
      <c r="M16" s="19">
        <f t="shared" si="0"/>
        <v>910272</v>
      </c>
      <c r="N16" s="20" t="s">
        <v>22</v>
      </c>
    </row>
    <row r="17" spans="2:14" ht="30" customHeight="1">
      <c r="B17" s="6">
        <v>18</v>
      </c>
      <c r="C17" s="5" t="s">
        <v>41</v>
      </c>
      <c r="D17" s="11" t="s">
        <v>35</v>
      </c>
      <c r="E17" s="12">
        <v>10000</v>
      </c>
      <c r="F17" s="12" t="s">
        <v>20</v>
      </c>
      <c r="G17" s="10">
        <v>45894</v>
      </c>
      <c r="H17" s="71"/>
      <c r="I17" s="37">
        <v>305654</v>
      </c>
      <c r="J17" s="38">
        <f t="shared" si="1"/>
        <v>315654</v>
      </c>
      <c r="K17" s="3" t="s">
        <v>21</v>
      </c>
      <c r="L17" s="2"/>
      <c r="M17" s="19">
        <f t="shared" si="0"/>
        <v>315654</v>
      </c>
      <c r="N17" s="20" t="s">
        <v>22</v>
      </c>
    </row>
    <row r="18" spans="2:14" ht="30" customHeight="1">
      <c r="B18" s="6">
        <v>19</v>
      </c>
      <c r="C18" s="5" t="s">
        <v>42</v>
      </c>
      <c r="D18" s="11" t="s">
        <v>43</v>
      </c>
      <c r="E18" s="12">
        <v>10000</v>
      </c>
      <c r="F18" s="12" t="s">
        <v>20</v>
      </c>
      <c r="G18" s="39">
        <v>45994</v>
      </c>
      <c r="H18" s="39"/>
      <c r="I18" s="37">
        <v>280352</v>
      </c>
      <c r="J18" s="38">
        <f t="shared" si="1"/>
        <v>290352</v>
      </c>
      <c r="K18" s="3" t="s">
        <v>21</v>
      </c>
      <c r="L18" s="19"/>
      <c r="M18" s="19">
        <f t="shared" si="0"/>
        <v>290352</v>
      </c>
      <c r="N18" s="2"/>
    </row>
    <row r="19" spans="2:14" ht="30" customHeight="1">
      <c r="B19" s="6">
        <v>20</v>
      </c>
      <c r="C19" s="5" t="s">
        <v>44</v>
      </c>
      <c r="D19" s="11" t="s">
        <v>35</v>
      </c>
      <c r="E19" s="12">
        <v>15000</v>
      </c>
      <c r="F19" s="12" t="s">
        <v>20</v>
      </c>
      <c r="G19" s="39">
        <v>45867</v>
      </c>
      <c r="H19" s="71"/>
      <c r="I19" s="37">
        <v>199786</v>
      </c>
      <c r="J19" s="38">
        <f t="shared" si="1"/>
        <v>214786</v>
      </c>
      <c r="K19" s="41" t="s">
        <v>21</v>
      </c>
      <c r="L19" s="2"/>
      <c r="M19" s="19">
        <f t="shared" si="0"/>
        <v>214786</v>
      </c>
      <c r="N19" s="20" t="s">
        <v>22</v>
      </c>
    </row>
    <row r="20" spans="2:14" ht="30" customHeight="1">
      <c r="B20" s="6">
        <v>21</v>
      </c>
      <c r="C20" s="5" t="s">
        <v>45</v>
      </c>
      <c r="D20" s="11" t="s">
        <v>19</v>
      </c>
      <c r="E20" s="12">
        <v>15000</v>
      </c>
      <c r="F20" s="12" t="s">
        <v>20</v>
      </c>
      <c r="G20" s="10">
        <v>46009</v>
      </c>
      <c r="H20" s="71">
        <v>0.4236111111111111</v>
      </c>
      <c r="I20" s="37">
        <v>502190</v>
      </c>
      <c r="J20" s="42">
        <f t="shared" si="1"/>
        <v>517190</v>
      </c>
      <c r="K20" s="56" t="s">
        <v>21</v>
      </c>
      <c r="L20" s="2"/>
      <c r="M20" s="19">
        <f t="shared" si="0"/>
        <v>517190</v>
      </c>
      <c r="N20" s="20" t="s">
        <v>22</v>
      </c>
    </row>
    <row r="21" spans="2:14" ht="30" customHeight="1">
      <c r="B21" s="6">
        <v>22</v>
      </c>
      <c r="C21" s="5" t="s">
        <v>46</v>
      </c>
      <c r="D21" s="11" t="s">
        <v>19</v>
      </c>
      <c r="E21" s="12">
        <v>15000</v>
      </c>
      <c r="F21" s="12" t="s">
        <v>20</v>
      </c>
      <c r="G21" s="10">
        <v>45930</v>
      </c>
      <c r="H21" s="71"/>
      <c r="I21" s="37">
        <v>419683</v>
      </c>
      <c r="J21" s="42">
        <f t="shared" si="1"/>
        <v>434683</v>
      </c>
      <c r="K21" s="56" t="s">
        <v>21</v>
      </c>
      <c r="L21" s="2"/>
      <c r="M21" s="19">
        <f t="shared" si="0"/>
        <v>434683</v>
      </c>
      <c r="N21" s="20" t="s">
        <v>22</v>
      </c>
    </row>
    <row r="22" spans="2:14" ht="30" customHeight="1">
      <c r="B22" s="6">
        <v>23</v>
      </c>
      <c r="C22" s="5" t="s">
        <v>47</v>
      </c>
      <c r="D22" s="11" t="s">
        <v>19</v>
      </c>
      <c r="E22" s="12">
        <v>15000</v>
      </c>
      <c r="F22" s="12" t="s">
        <v>20</v>
      </c>
      <c r="G22" s="40">
        <v>45867</v>
      </c>
      <c r="H22" s="72"/>
      <c r="I22" s="37">
        <v>350888</v>
      </c>
      <c r="J22" s="44">
        <f t="shared" si="1"/>
        <v>365888</v>
      </c>
      <c r="K22" s="76" t="s">
        <v>21</v>
      </c>
      <c r="L22" s="2"/>
      <c r="M22" s="19">
        <f t="shared" si="0"/>
        <v>365888</v>
      </c>
      <c r="N22" s="20" t="s">
        <v>22</v>
      </c>
    </row>
    <row r="23" spans="2:14" ht="30" customHeight="1">
      <c r="B23" s="6">
        <v>24</v>
      </c>
      <c r="C23" s="5" t="s">
        <v>48</v>
      </c>
      <c r="D23" s="11" t="s">
        <v>49</v>
      </c>
      <c r="E23" s="12">
        <v>9320</v>
      </c>
      <c r="F23" s="43" t="s">
        <v>1</v>
      </c>
      <c r="G23" s="10">
        <v>45923</v>
      </c>
      <c r="H23" s="71">
        <v>0.53472222222222221</v>
      </c>
      <c r="I23" s="61">
        <v>224297</v>
      </c>
      <c r="J23" s="63">
        <f>I23+(15000/$R$3)</f>
        <v>233617.56788356</v>
      </c>
      <c r="K23" s="56" t="s">
        <v>21</v>
      </c>
      <c r="L23" s="2"/>
      <c r="M23" s="19">
        <f>(J23*$R$3)-L23</f>
        <v>375971.03116800002</v>
      </c>
      <c r="N23" s="20" t="s">
        <v>22</v>
      </c>
    </row>
    <row r="24" spans="2:14" ht="30" customHeight="1">
      <c r="B24" s="6">
        <v>25</v>
      </c>
      <c r="C24" s="5" t="s">
        <v>50</v>
      </c>
      <c r="D24" s="11" t="s">
        <v>19</v>
      </c>
      <c r="E24" s="12">
        <v>15000</v>
      </c>
      <c r="F24" s="12" t="s">
        <v>20</v>
      </c>
      <c r="G24" s="45">
        <v>45975</v>
      </c>
      <c r="H24" s="73">
        <v>0.60416666666666663</v>
      </c>
      <c r="I24" s="37">
        <v>377196</v>
      </c>
      <c r="J24" s="62">
        <f t="shared" ref="J24:J51" si="2">I24+E24</f>
        <v>392196</v>
      </c>
      <c r="K24" s="77" t="s">
        <v>21</v>
      </c>
      <c r="L24" s="2"/>
      <c r="M24" s="19">
        <f t="shared" ref="M24:M51" si="3">J24-L24</f>
        <v>392196</v>
      </c>
      <c r="N24" s="20" t="s">
        <v>22</v>
      </c>
    </row>
    <row r="25" spans="2:14" ht="30" customHeight="1">
      <c r="B25" s="6">
        <v>26</v>
      </c>
      <c r="C25" s="5" t="s">
        <v>51</v>
      </c>
      <c r="D25" s="11" t="s">
        <v>19</v>
      </c>
      <c r="E25" s="12">
        <v>50000</v>
      </c>
      <c r="F25" s="12" t="s">
        <v>20</v>
      </c>
      <c r="G25" s="45">
        <v>45993</v>
      </c>
      <c r="H25" s="73"/>
      <c r="I25" s="37">
        <v>354306</v>
      </c>
      <c r="J25" s="42">
        <f t="shared" si="2"/>
        <v>404306</v>
      </c>
      <c r="K25" s="56" t="s">
        <v>52</v>
      </c>
      <c r="L25" s="2"/>
      <c r="M25" s="19">
        <f t="shared" si="3"/>
        <v>404306</v>
      </c>
      <c r="N25" s="20" t="s">
        <v>22</v>
      </c>
    </row>
    <row r="26" spans="2:14" ht="30" customHeight="1">
      <c r="B26" s="6">
        <v>27</v>
      </c>
      <c r="C26" s="5" t="s">
        <v>53</v>
      </c>
      <c r="D26" s="11" t="s">
        <v>30</v>
      </c>
      <c r="E26" s="12">
        <v>15000</v>
      </c>
      <c r="F26" s="12" t="s">
        <v>20</v>
      </c>
      <c r="G26" s="45">
        <v>45848</v>
      </c>
      <c r="H26" s="73"/>
      <c r="I26" s="37">
        <v>157230</v>
      </c>
      <c r="J26" s="42">
        <f t="shared" si="2"/>
        <v>172230</v>
      </c>
      <c r="K26" s="56" t="s">
        <v>21</v>
      </c>
      <c r="L26" s="2"/>
      <c r="M26" s="19">
        <f t="shared" si="3"/>
        <v>172230</v>
      </c>
      <c r="N26" s="20" t="s">
        <v>22</v>
      </c>
    </row>
    <row r="27" spans="2:14" ht="30" customHeight="1">
      <c r="B27" s="6">
        <v>28</v>
      </c>
      <c r="C27" s="5" t="s">
        <v>54</v>
      </c>
      <c r="D27" s="11" t="s">
        <v>49</v>
      </c>
      <c r="E27" s="12">
        <v>15000</v>
      </c>
      <c r="F27" s="12" t="s">
        <v>20</v>
      </c>
      <c r="G27" s="10">
        <v>45657</v>
      </c>
      <c r="H27" s="71"/>
      <c r="I27" s="37">
        <v>202845</v>
      </c>
      <c r="J27" s="42">
        <f t="shared" si="2"/>
        <v>217845</v>
      </c>
      <c r="K27" s="56" t="s">
        <v>21</v>
      </c>
      <c r="L27" s="2"/>
      <c r="M27" s="19">
        <f t="shared" si="3"/>
        <v>217845</v>
      </c>
      <c r="N27" s="20" t="s">
        <v>22</v>
      </c>
    </row>
    <row r="28" spans="2:14" ht="30" customHeight="1">
      <c r="B28" s="6">
        <v>29</v>
      </c>
      <c r="C28" s="5" t="s">
        <v>55</v>
      </c>
      <c r="D28" s="11" t="s">
        <v>19</v>
      </c>
      <c r="E28" s="12">
        <v>15000</v>
      </c>
      <c r="F28" s="12" t="s">
        <v>20</v>
      </c>
      <c r="G28" s="10">
        <v>45952</v>
      </c>
      <c r="H28" s="71">
        <v>0.51388888888888884</v>
      </c>
      <c r="I28" s="37">
        <v>242077</v>
      </c>
      <c r="J28" s="38">
        <f t="shared" si="2"/>
        <v>257077</v>
      </c>
      <c r="K28" s="46" t="s">
        <v>21</v>
      </c>
      <c r="L28" s="2"/>
      <c r="M28" s="19">
        <f t="shared" si="3"/>
        <v>257077</v>
      </c>
      <c r="N28" s="20" t="s">
        <v>22</v>
      </c>
    </row>
    <row r="29" spans="2:14" ht="30" customHeight="1">
      <c r="B29" s="6">
        <v>30</v>
      </c>
      <c r="C29" s="5" t="s">
        <v>56</v>
      </c>
      <c r="D29" s="11" t="s">
        <v>19</v>
      </c>
      <c r="E29" s="12">
        <v>40000</v>
      </c>
      <c r="F29" s="12" t="s">
        <v>20</v>
      </c>
      <c r="G29" s="10">
        <v>45874</v>
      </c>
      <c r="H29" s="71"/>
      <c r="I29" s="37">
        <v>339179</v>
      </c>
      <c r="J29" s="38">
        <f t="shared" si="2"/>
        <v>379179</v>
      </c>
      <c r="K29" s="3" t="s">
        <v>57</v>
      </c>
      <c r="L29" s="2"/>
      <c r="M29" s="19">
        <f t="shared" si="3"/>
        <v>379179</v>
      </c>
      <c r="N29" s="20" t="s">
        <v>22</v>
      </c>
    </row>
    <row r="30" spans="2:14" ht="30" customHeight="1">
      <c r="B30" s="6">
        <v>31</v>
      </c>
      <c r="C30" s="5" t="s">
        <v>58</v>
      </c>
      <c r="D30" s="11" t="s">
        <v>19</v>
      </c>
      <c r="E30" s="12">
        <v>40000</v>
      </c>
      <c r="F30" s="12" t="s">
        <v>20</v>
      </c>
      <c r="G30" s="40">
        <v>45959</v>
      </c>
      <c r="H30" s="72"/>
      <c r="I30" s="37">
        <v>540000</v>
      </c>
      <c r="J30" s="38">
        <f t="shared" si="2"/>
        <v>580000</v>
      </c>
      <c r="K30" s="3" t="s">
        <v>57</v>
      </c>
      <c r="L30" s="2"/>
      <c r="M30" s="19">
        <f t="shared" si="3"/>
        <v>580000</v>
      </c>
      <c r="N30" s="20" t="s">
        <v>22</v>
      </c>
    </row>
    <row r="31" spans="2:14" ht="30" customHeight="1">
      <c r="B31" s="6">
        <v>32</v>
      </c>
      <c r="C31" s="47" t="s">
        <v>59</v>
      </c>
      <c r="D31" s="48" t="s">
        <v>19</v>
      </c>
      <c r="E31" s="49">
        <v>50000</v>
      </c>
      <c r="F31" s="12" t="s">
        <v>20</v>
      </c>
      <c r="G31" s="82">
        <v>46002</v>
      </c>
      <c r="H31" s="74"/>
      <c r="I31" s="50">
        <v>150000</v>
      </c>
      <c r="J31" s="38">
        <f t="shared" si="2"/>
        <v>200000</v>
      </c>
      <c r="K31" s="41" t="s">
        <v>52</v>
      </c>
      <c r="L31" s="2"/>
      <c r="M31" s="19">
        <f t="shared" si="3"/>
        <v>200000</v>
      </c>
      <c r="N31" s="20" t="s">
        <v>22</v>
      </c>
    </row>
    <row r="32" spans="2:14" ht="30" customHeight="1">
      <c r="B32" s="6">
        <v>33</v>
      </c>
      <c r="C32" s="51" t="s">
        <v>60</v>
      </c>
      <c r="D32" s="52" t="s">
        <v>49</v>
      </c>
      <c r="E32" s="53">
        <v>40000</v>
      </c>
      <c r="F32" s="12" t="s">
        <v>20</v>
      </c>
      <c r="G32" s="54">
        <v>45853</v>
      </c>
      <c r="H32" s="75"/>
      <c r="I32" s="55">
        <v>92000</v>
      </c>
      <c r="J32" s="38">
        <f t="shared" si="2"/>
        <v>132000</v>
      </c>
      <c r="K32" s="56" t="s">
        <v>57</v>
      </c>
      <c r="L32" s="2"/>
      <c r="M32" s="19">
        <f t="shared" si="3"/>
        <v>132000</v>
      </c>
      <c r="N32" s="20" t="s">
        <v>22</v>
      </c>
    </row>
    <row r="33" spans="2:14" ht="30" customHeight="1">
      <c r="B33" s="6">
        <v>34</v>
      </c>
      <c r="C33" s="51" t="s">
        <v>61</v>
      </c>
      <c r="D33" s="52" t="s">
        <v>19</v>
      </c>
      <c r="E33" s="53">
        <v>40000</v>
      </c>
      <c r="F33" s="12" t="s">
        <v>20</v>
      </c>
      <c r="G33" s="54">
        <v>45944</v>
      </c>
      <c r="H33" s="75"/>
      <c r="I33" s="55">
        <v>121493</v>
      </c>
      <c r="J33" s="38">
        <f t="shared" si="2"/>
        <v>161493</v>
      </c>
      <c r="K33" s="56" t="s">
        <v>57</v>
      </c>
      <c r="L33" s="2"/>
      <c r="M33" s="19">
        <f t="shared" si="3"/>
        <v>161493</v>
      </c>
      <c r="N33" s="20" t="s">
        <v>22</v>
      </c>
    </row>
    <row r="34" spans="2:14" ht="30" customHeight="1">
      <c r="B34" s="6">
        <v>35</v>
      </c>
      <c r="C34" s="51" t="s">
        <v>62</v>
      </c>
      <c r="D34" s="52" t="s">
        <v>19</v>
      </c>
      <c r="E34" s="53">
        <v>40000</v>
      </c>
      <c r="F34" s="12" t="s">
        <v>20</v>
      </c>
      <c r="G34" s="57">
        <v>45776</v>
      </c>
      <c r="H34" s="75"/>
      <c r="I34" s="55">
        <v>40000</v>
      </c>
      <c r="J34" s="38">
        <f t="shared" si="2"/>
        <v>80000</v>
      </c>
      <c r="K34" s="56" t="s">
        <v>57</v>
      </c>
      <c r="L34" s="2"/>
      <c r="M34" s="19">
        <f t="shared" si="3"/>
        <v>80000</v>
      </c>
      <c r="N34" s="20" t="s">
        <v>22</v>
      </c>
    </row>
    <row r="35" spans="2:14" ht="30" customHeight="1">
      <c r="B35" s="6">
        <v>36</v>
      </c>
      <c r="C35" s="51" t="s">
        <v>63</v>
      </c>
      <c r="D35" s="52" t="s">
        <v>32</v>
      </c>
      <c r="E35" s="53">
        <v>40000</v>
      </c>
      <c r="F35" s="12" t="s">
        <v>20</v>
      </c>
      <c r="G35" s="54">
        <v>45950</v>
      </c>
      <c r="H35" s="75"/>
      <c r="I35" s="55">
        <v>60000</v>
      </c>
      <c r="J35" s="38">
        <f t="shared" si="2"/>
        <v>100000</v>
      </c>
      <c r="K35" s="56" t="s">
        <v>57</v>
      </c>
      <c r="L35" s="2"/>
      <c r="M35" s="19">
        <f t="shared" si="3"/>
        <v>100000</v>
      </c>
      <c r="N35" s="20" t="s">
        <v>22</v>
      </c>
    </row>
    <row r="36" spans="2:14" ht="30" customHeight="1">
      <c r="B36" s="6">
        <v>37</v>
      </c>
      <c r="C36" s="51" t="s">
        <v>64</v>
      </c>
      <c r="D36" s="52" t="s">
        <v>30</v>
      </c>
      <c r="E36" s="53">
        <v>20000</v>
      </c>
      <c r="F36" s="12" t="s">
        <v>20</v>
      </c>
      <c r="G36" s="51"/>
      <c r="H36" s="75"/>
      <c r="I36" s="55">
        <v>0</v>
      </c>
      <c r="J36" s="38">
        <f t="shared" si="2"/>
        <v>20000</v>
      </c>
      <c r="K36" s="56"/>
      <c r="L36" s="2"/>
      <c r="M36" s="19">
        <f t="shared" si="3"/>
        <v>20000</v>
      </c>
      <c r="N36" s="20" t="s">
        <v>22</v>
      </c>
    </row>
    <row r="37" spans="2:14" ht="30" customHeight="1">
      <c r="B37" s="6">
        <v>38</v>
      </c>
      <c r="C37" s="79" t="s">
        <v>65</v>
      </c>
      <c r="D37" s="80" t="s">
        <v>19</v>
      </c>
      <c r="E37" s="81">
        <v>30000</v>
      </c>
      <c r="F37" s="13" t="s">
        <v>20</v>
      </c>
      <c r="G37" s="85">
        <v>46021</v>
      </c>
      <c r="H37" s="86">
        <v>0.72222222222222221</v>
      </c>
      <c r="I37" s="83">
        <v>20000</v>
      </c>
      <c r="J37" s="15">
        <f t="shared" si="2"/>
        <v>50000</v>
      </c>
      <c r="K37" s="84" t="s">
        <v>57</v>
      </c>
      <c r="L37" s="14"/>
      <c r="M37" s="19">
        <f t="shared" si="3"/>
        <v>50000</v>
      </c>
      <c r="N37" s="2"/>
    </row>
    <row r="38" spans="2:14" ht="30" customHeight="1">
      <c r="B38" s="6">
        <v>39</v>
      </c>
      <c r="C38" s="79" t="s">
        <v>66</v>
      </c>
      <c r="D38" s="80" t="s">
        <v>19</v>
      </c>
      <c r="E38" s="81">
        <v>30000</v>
      </c>
      <c r="F38" s="13" t="s">
        <v>20</v>
      </c>
      <c r="G38" s="79"/>
      <c r="H38" s="79"/>
      <c r="I38" s="83"/>
      <c r="J38" s="15">
        <f t="shared" si="2"/>
        <v>30000</v>
      </c>
      <c r="K38" s="84"/>
      <c r="L38" s="14"/>
      <c r="M38" s="19">
        <f t="shared" si="3"/>
        <v>30000</v>
      </c>
      <c r="N38" s="2"/>
    </row>
    <row r="39" spans="2:14" ht="30" customHeight="1">
      <c r="B39" s="6">
        <v>40</v>
      </c>
      <c r="C39" s="79"/>
      <c r="D39" s="80"/>
      <c r="E39" s="81"/>
      <c r="F39" s="13"/>
      <c r="G39" s="79"/>
      <c r="H39" s="79"/>
      <c r="I39" s="83"/>
      <c r="J39" s="15">
        <f t="shared" si="2"/>
        <v>0</v>
      </c>
      <c r="K39" s="84"/>
      <c r="L39" s="14"/>
      <c r="M39" s="19">
        <f t="shared" si="3"/>
        <v>0</v>
      </c>
      <c r="N39" s="2"/>
    </row>
    <row r="40" spans="2:14" ht="30" customHeight="1">
      <c r="B40" s="6">
        <v>41</v>
      </c>
      <c r="C40" s="79"/>
      <c r="D40" s="80"/>
      <c r="E40" s="81"/>
      <c r="F40" s="13"/>
      <c r="G40" s="79"/>
      <c r="H40" s="79"/>
      <c r="I40" s="83"/>
      <c r="J40" s="15">
        <f t="shared" si="2"/>
        <v>0</v>
      </c>
      <c r="K40" s="84"/>
      <c r="L40" s="14"/>
      <c r="M40" s="19">
        <f t="shared" si="3"/>
        <v>0</v>
      </c>
      <c r="N40" s="2"/>
    </row>
    <row r="41" spans="2:14" ht="30" customHeight="1">
      <c r="B41" s="6">
        <v>42</v>
      </c>
      <c r="C41" s="79"/>
      <c r="D41" s="80"/>
      <c r="E41" s="81"/>
      <c r="F41" s="13"/>
      <c r="G41" s="79"/>
      <c r="H41" s="79"/>
      <c r="I41" s="83"/>
      <c r="J41" s="15">
        <f t="shared" si="2"/>
        <v>0</v>
      </c>
      <c r="K41" s="84"/>
      <c r="L41" s="14"/>
      <c r="M41" s="19">
        <f t="shared" si="3"/>
        <v>0</v>
      </c>
      <c r="N41" s="2"/>
    </row>
    <row r="42" spans="2:14" ht="30" customHeight="1">
      <c r="B42" s="6">
        <v>43</v>
      </c>
      <c r="C42" s="79"/>
      <c r="D42" s="80"/>
      <c r="E42" s="81"/>
      <c r="F42" s="13"/>
      <c r="G42" s="79"/>
      <c r="H42" s="79"/>
      <c r="I42" s="83"/>
      <c r="J42" s="15">
        <f t="shared" si="2"/>
        <v>0</v>
      </c>
      <c r="K42" s="84"/>
      <c r="L42" s="14"/>
      <c r="M42" s="19">
        <f t="shared" si="3"/>
        <v>0</v>
      </c>
      <c r="N42" s="2"/>
    </row>
    <row r="43" spans="2:14" ht="30" customHeight="1">
      <c r="B43" s="6">
        <v>44</v>
      </c>
      <c r="C43" s="79"/>
      <c r="D43" s="80"/>
      <c r="E43" s="81"/>
      <c r="F43" s="13"/>
      <c r="G43" s="79"/>
      <c r="H43" s="79"/>
      <c r="I43" s="83"/>
      <c r="J43" s="15">
        <f t="shared" si="2"/>
        <v>0</v>
      </c>
      <c r="K43" s="84"/>
      <c r="L43" s="14"/>
      <c r="M43" s="19">
        <f t="shared" si="3"/>
        <v>0</v>
      </c>
      <c r="N43" s="2"/>
    </row>
    <row r="44" spans="2:14" ht="30" customHeight="1">
      <c r="B44" s="6">
        <v>45</v>
      </c>
      <c r="C44" s="79"/>
      <c r="D44" s="80"/>
      <c r="E44" s="81"/>
      <c r="F44" s="13"/>
      <c r="G44" s="79"/>
      <c r="H44" s="79"/>
      <c r="I44" s="83"/>
      <c r="J44" s="15">
        <f t="shared" si="2"/>
        <v>0</v>
      </c>
      <c r="K44" s="84"/>
      <c r="L44" s="14"/>
      <c r="M44" s="19">
        <f t="shared" si="3"/>
        <v>0</v>
      </c>
      <c r="N44" s="2"/>
    </row>
    <row r="45" spans="2:14" ht="30" customHeight="1">
      <c r="B45" s="6">
        <v>46</v>
      </c>
      <c r="C45" s="79"/>
      <c r="D45" s="80"/>
      <c r="E45" s="81"/>
      <c r="F45" s="13"/>
      <c r="G45" s="79"/>
      <c r="H45" s="79"/>
      <c r="I45" s="83"/>
      <c r="J45" s="15">
        <f t="shared" si="2"/>
        <v>0</v>
      </c>
      <c r="K45" s="84"/>
      <c r="L45" s="14"/>
      <c r="M45" s="19">
        <f t="shared" si="3"/>
        <v>0</v>
      </c>
      <c r="N45" s="2"/>
    </row>
    <row r="46" spans="2:14" ht="30" customHeight="1">
      <c r="B46" s="6">
        <v>47</v>
      </c>
      <c r="C46" s="79"/>
      <c r="D46" s="80"/>
      <c r="E46" s="81"/>
      <c r="F46" s="13"/>
      <c r="G46" s="79"/>
      <c r="H46" s="79"/>
      <c r="I46" s="83"/>
      <c r="J46" s="15">
        <f t="shared" si="2"/>
        <v>0</v>
      </c>
      <c r="K46" s="84"/>
      <c r="L46" s="14"/>
      <c r="M46" s="19">
        <f t="shared" si="3"/>
        <v>0</v>
      </c>
      <c r="N46" s="2"/>
    </row>
    <row r="47" spans="2:14" ht="30" customHeight="1">
      <c r="B47" s="6">
        <v>48</v>
      </c>
      <c r="C47" s="79"/>
      <c r="D47" s="80"/>
      <c r="E47" s="81"/>
      <c r="F47" s="13"/>
      <c r="G47" s="79"/>
      <c r="H47" s="79"/>
      <c r="I47" s="83"/>
      <c r="J47" s="15">
        <f t="shared" si="2"/>
        <v>0</v>
      </c>
      <c r="K47" s="84"/>
      <c r="L47" s="14"/>
      <c r="M47" s="19">
        <f t="shared" si="3"/>
        <v>0</v>
      </c>
      <c r="N47" s="2"/>
    </row>
    <row r="48" spans="2:14" ht="30" customHeight="1">
      <c r="B48" s="6">
        <v>49</v>
      </c>
      <c r="C48" s="79"/>
      <c r="D48" s="80"/>
      <c r="E48" s="81"/>
      <c r="F48" s="13"/>
      <c r="G48" s="79"/>
      <c r="H48" s="79"/>
      <c r="I48" s="83"/>
      <c r="J48" s="15">
        <f t="shared" si="2"/>
        <v>0</v>
      </c>
      <c r="K48" s="84"/>
      <c r="L48" s="14"/>
      <c r="M48" s="19">
        <f t="shared" si="3"/>
        <v>0</v>
      </c>
      <c r="N48" s="2"/>
    </row>
    <row r="49" spans="2:14" ht="30" customHeight="1">
      <c r="B49" s="6">
        <v>50</v>
      </c>
      <c r="C49" s="79"/>
      <c r="D49" s="80"/>
      <c r="E49" s="81"/>
      <c r="F49" s="13"/>
      <c r="G49" s="79"/>
      <c r="H49" s="79"/>
      <c r="I49" s="83"/>
      <c r="J49" s="15">
        <f t="shared" si="2"/>
        <v>0</v>
      </c>
      <c r="K49" s="84"/>
      <c r="L49" s="14"/>
      <c r="M49" s="19">
        <f t="shared" si="3"/>
        <v>0</v>
      </c>
      <c r="N49" s="2"/>
    </row>
    <row r="50" spans="2:14" ht="30" customHeight="1">
      <c r="B50" s="6">
        <v>51</v>
      </c>
      <c r="C50" s="79"/>
      <c r="D50" s="80"/>
      <c r="E50" s="81"/>
      <c r="F50" s="13"/>
      <c r="G50" s="79"/>
      <c r="H50" s="79"/>
      <c r="I50" s="83"/>
      <c r="J50" s="15">
        <f t="shared" si="2"/>
        <v>0</v>
      </c>
      <c r="K50" s="84"/>
      <c r="L50" s="14"/>
      <c r="M50" s="19">
        <f t="shared" si="3"/>
        <v>0</v>
      </c>
      <c r="N50" s="2"/>
    </row>
    <row r="51" spans="2:14" ht="30" customHeight="1">
      <c r="B51" s="6">
        <v>52</v>
      </c>
      <c r="C51" s="79"/>
      <c r="D51" s="80"/>
      <c r="E51" s="81"/>
      <c r="F51" s="13"/>
      <c r="G51" s="79"/>
      <c r="H51" s="79"/>
      <c r="I51" s="83"/>
      <c r="J51" s="15">
        <f t="shared" si="2"/>
        <v>0</v>
      </c>
      <c r="K51" s="84"/>
      <c r="L51" s="14"/>
      <c r="M51" s="19">
        <f t="shared" si="3"/>
        <v>0</v>
      </c>
      <c r="N51" s="2"/>
    </row>
  </sheetData>
  <autoFilter ref="C4:N51" xr:uid="{00000000-0001-0000-0000-000000000000}">
    <sortState xmlns:xlrd2="http://schemas.microsoft.com/office/spreadsheetml/2017/richdata2" ref="C5:N51">
      <sortCondition ref="C4:C51"/>
    </sortState>
  </autoFilter>
  <mergeCells count="1">
    <mergeCell ref="G3:J3"/>
  </mergeCells>
  <conditionalFormatting sqref="M5:M51">
    <cfRule type="cellIs" dxfId="0" priority="1" operator="lessThan">
      <formula>0</formula>
    </cfRule>
  </conditionalFormatting>
  <hyperlinks>
    <hyperlink ref="F23" location="mantencion!R2" display="millas" xr:uid="{676ABC1A-3560-4960-B861-199AC09E3D82}"/>
  </hyperlinks>
  <pageMargins left="0.7" right="0.7" top="0.75" bottom="0.75" header="0.3" footer="0.3"/>
  <pageSetup scale="99" fitToHeight="0" orientation="portrait" r:id="rId1"/>
  <ignoredErrors>
    <ignoredError sqref="M23" formula="1"/>
  </ignoredError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3F7DA-EECC-4EDE-AAA9-2131EDA95E05}">
  <dimension ref="B1:E120"/>
  <sheetViews>
    <sheetView topLeftCell="A35" workbookViewId="0">
      <selection activeCell="I61" sqref="I61"/>
    </sheetView>
  </sheetViews>
  <sheetFormatPr defaultColWidth="11.5703125" defaultRowHeight="14.25"/>
  <cols>
    <col min="1" max="1" width="11.5703125" style="25"/>
    <col min="2" max="2" width="12.85546875" style="25" bestFit="1" customWidth="1"/>
    <col min="3" max="3" width="15" style="25" bestFit="1" customWidth="1"/>
    <col min="4" max="4" width="15.140625" style="30" bestFit="1" customWidth="1"/>
    <col min="5" max="5" width="16.28515625" style="35" bestFit="1" customWidth="1"/>
    <col min="6" max="16384" width="11.5703125" style="25"/>
  </cols>
  <sheetData>
    <row r="1" spans="2:5">
      <c r="D1" s="25"/>
      <c r="E1" s="25"/>
    </row>
    <row r="2" spans="2:5">
      <c r="D2" s="25"/>
      <c r="E2" s="25"/>
    </row>
    <row r="3" spans="2:5" ht="15">
      <c r="B3" s="23" t="s">
        <v>67</v>
      </c>
      <c r="C3" s="23" t="s">
        <v>68</v>
      </c>
      <c r="D3" s="24" t="s">
        <v>69</v>
      </c>
      <c r="E3" s="24" t="s">
        <v>70</v>
      </c>
    </row>
    <row r="4" spans="2:5">
      <c r="B4" s="26" t="s">
        <v>48</v>
      </c>
      <c r="C4" s="26" t="s">
        <v>1</v>
      </c>
      <c r="D4" s="27">
        <v>45533</v>
      </c>
      <c r="E4" s="28">
        <v>210910</v>
      </c>
    </row>
    <row r="5" spans="2:5">
      <c r="B5" s="26" t="s">
        <v>33</v>
      </c>
      <c r="C5" s="26" t="s">
        <v>20</v>
      </c>
      <c r="D5" s="27">
        <v>45594</v>
      </c>
      <c r="E5" s="28">
        <v>703299</v>
      </c>
    </row>
    <row r="6" spans="2:5">
      <c r="B6" s="26" t="s">
        <v>71</v>
      </c>
      <c r="C6" s="26" t="s">
        <v>20</v>
      </c>
      <c r="D6" s="27">
        <v>45623</v>
      </c>
      <c r="E6" s="28">
        <v>541240</v>
      </c>
    </row>
    <row r="7" spans="2:5">
      <c r="B7" s="26" t="s">
        <v>39</v>
      </c>
      <c r="C7" s="26" t="s">
        <v>20</v>
      </c>
      <c r="D7" s="27">
        <v>45624</v>
      </c>
      <c r="E7" s="28">
        <v>442965</v>
      </c>
    </row>
    <row r="8" spans="2:5">
      <c r="B8" s="26" t="s">
        <v>54</v>
      </c>
      <c r="C8" s="26" t="s">
        <v>20</v>
      </c>
      <c r="D8" s="27">
        <v>45657</v>
      </c>
      <c r="E8" s="28">
        <v>202845</v>
      </c>
    </row>
    <row r="9" spans="2:5">
      <c r="B9" s="26" t="s">
        <v>34</v>
      </c>
      <c r="C9" s="26" t="s">
        <v>20</v>
      </c>
      <c r="D9" s="27">
        <v>45671</v>
      </c>
      <c r="E9" s="28">
        <v>326496</v>
      </c>
    </row>
    <row r="10" spans="2:5">
      <c r="B10" s="26" t="s">
        <v>29</v>
      </c>
      <c r="C10" s="26" t="s">
        <v>20</v>
      </c>
      <c r="D10" s="27">
        <v>45687</v>
      </c>
      <c r="E10" s="28">
        <v>529096</v>
      </c>
    </row>
    <row r="11" spans="2:5">
      <c r="B11" s="26" t="s">
        <v>44</v>
      </c>
      <c r="C11" s="26" t="s">
        <v>20</v>
      </c>
      <c r="D11" s="27">
        <v>45702</v>
      </c>
      <c r="E11" s="28">
        <v>183663</v>
      </c>
    </row>
    <row r="12" spans="2:5">
      <c r="B12" s="26" t="s">
        <v>51</v>
      </c>
      <c r="C12" s="26" t="s">
        <v>20</v>
      </c>
      <c r="D12" s="27">
        <v>45719</v>
      </c>
      <c r="E12" s="28">
        <v>300939</v>
      </c>
    </row>
    <row r="13" spans="2:5">
      <c r="B13" s="26" t="s">
        <v>55</v>
      </c>
      <c r="C13" s="26" t="s">
        <v>20</v>
      </c>
      <c r="D13" s="27">
        <v>45769</v>
      </c>
      <c r="E13" s="28">
        <v>211355</v>
      </c>
    </row>
    <row r="14" spans="2:5">
      <c r="B14" s="26" t="s">
        <v>41</v>
      </c>
      <c r="C14" s="26" t="s">
        <v>20</v>
      </c>
      <c r="D14" s="27">
        <v>45770</v>
      </c>
      <c r="E14" s="28">
        <v>295408</v>
      </c>
    </row>
    <row r="15" spans="2:5">
      <c r="B15" s="26" t="s">
        <v>72</v>
      </c>
      <c r="C15" s="26" t="s">
        <v>20</v>
      </c>
      <c r="D15" s="27">
        <v>45771</v>
      </c>
      <c r="E15" s="28">
        <v>442479</v>
      </c>
    </row>
    <row r="16" spans="2:5">
      <c r="B16" s="26" t="s">
        <v>56</v>
      </c>
      <c r="C16" s="26" t="s">
        <v>20</v>
      </c>
      <c r="D16" s="27">
        <v>45772</v>
      </c>
      <c r="E16" s="28">
        <v>296110</v>
      </c>
    </row>
    <row r="17" spans="2:5">
      <c r="B17" s="26" t="s">
        <v>38</v>
      </c>
      <c r="C17" s="26" t="s">
        <v>20</v>
      </c>
      <c r="D17" s="27">
        <v>45776</v>
      </c>
      <c r="E17" s="28">
        <v>633362</v>
      </c>
    </row>
    <row r="18" spans="2:5">
      <c r="B18" s="26" t="s">
        <v>47</v>
      </c>
      <c r="C18" s="26" t="s">
        <v>20</v>
      </c>
      <c r="D18" s="27">
        <v>45776</v>
      </c>
      <c r="E18" s="28">
        <v>335794</v>
      </c>
    </row>
    <row r="19" spans="2:5">
      <c r="B19" s="26" t="s">
        <v>62</v>
      </c>
      <c r="C19" s="26" t="s">
        <v>20</v>
      </c>
      <c r="D19" s="27">
        <v>45776</v>
      </c>
      <c r="E19" s="28">
        <v>40000</v>
      </c>
    </row>
    <row r="20" spans="2:5">
      <c r="B20" s="26" t="s">
        <v>46</v>
      </c>
      <c r="C20" s="26" t="s">
        <v>20</v>
      </c>
      <c r="D20" s="27">
        <v>45796</v>
      </c>
      <c r="E20" s="28">
        <v>403002</v>
      </c>
    </row>
    <row r="21" spans="2:5">
      <c r="B21" s="26" t="s">
        <v>36</v>
      </c>
      <c r="C21" s="26" t="s">
        <v>20</v>
      </c>
      <c r="D21" s="27">
        <v>45799</v>
      </c>
      <c r="E21" s="28">
        <v>565060</v>
      </c>
    </row>
    <row r="22" spans="2:5">
      <c r="B22" s="26" t="s">
        <v>63</v>
      </c>
      <c r="C22" s="26" t="s">
        <v>20</v>
      </c>
      <c r="D22" s="27">
        <v>45805</v>
      </c>
      <c r="E22" s="28">
        <v>20000</v>
      </c>
    </row>
    <row r="23" spans="2:5">
      <c r="B23" s="26" t="s">
        <v>58</v>
      </c>
      <c r="C23" s="26" t="s">
        <v>20</v>
      </c>
      <c r="D23" s="27">
        <v>45812</v>
      </c>
      <c r="E23" s="28">
        <v>454114</v>
      </c>
    </row>
    <row r="24" spans="2:5">
      <c r="B24" s="26" t="s">
        <v>45</v>
      </c>
      <c r="C24" s="26" t="s">
        <v>20</v>
      </c>
      <c r="D24" s="27">
        <v>45824</v>
      </c>
      <c r="E24" s="28">
        <v>466066</v>
      </c>
    </row>
    <row r="25" spans="2:5">
      <c r="B25" s="26" t="s">
        <v>50</v>
      </c>
      <c r="C25" s="26" t="s">
        <v>20</v>
      </c>
      <c r="D25" s="27">
        <v>45826</v>
      </c>
      <c r="E25" s="28">
        <v>358052</v>
      </c>
    </row>
    <row r="26" spans="2:5">
      <c r="B26" s="26" t="s">
        <v>37</v>
      </c>
      <c r="C26" s="26" t="s">
        <v>20</v>
      </c>
      <c r="D26" s="27">
        <v>45827</v>
      </c>
      <c r="E26" s="28">
        <v>561072</v>
      </c>
    </row>
    <row r="27" spans="2:5">
      <c r="B27" s="26" t="s">
        <v>73</v>
      </c>
      <c r="C27" s="26" t="s">
        <v>20</v>
      </c>
      <c r="D27" s="27">
        <v>45832</v>
      </c>
      <c r="E27" s="28">
        <v>471400</v>
      </c>
    </row>
    <row r="28" spans="2:5">
      <c r="B28" s="26" t="s">
        <v>59</v>
      </c>
      <c r="C28" s="26" t="s">
        <v>20</v>
      </c>
      <c r="D28" s="27">
        <v>45833</v>
      </c>
      <c r="E28" s="28">
        <v>101000</v>
      </c>
    </row>
    <row r="29" spans="2:5">
      <c r="B29" s="26" t="s">
        <v>61</v>
      </c>
      <c r="C29" s="26" t="s">
        <v>20</v>
      </c>
      <c r="D29" s="27">
        <v>45834</v>
      </c>
      <c r="E29" s="28">
        <v>80000</v>
      </c>
    </row>
    <row r="30" spans="2:5">
      <c r="B30" s="26" t="s">
        <v>53</v>
      </c>
      <c r="C30" s="26" t="s">
        <v>20</v>
      </c>
      <c r="D30" s="27">
        <v>45848</v>
      </c>
      <c r="E30" s="28">
        <v>157230</v>
      </c>
    </row>
    <row r="31" spans="2:5">
      <c r="B31" s="26" t="s">
        <v>40</v>
      </c>
      <c r="C31" s="26" t="s">
        <v>20</v>
      </c>
      <c r="D31" s="27">
        <v>45853</v>
      </c>
      <c r="E31" s="28">
        <v>848487</v>
      </c>
    </row>
    <row r="32" spans="2:5">
      <c r="B32" s="26" t="s">
        <v>60</v>
      </c>
      <c r="C32" s="26" t="s">
        <v>20</v>
      </c>
      <c r="D32" s="27">
        <v>45853</v>
      </c>
      <c r="E32" s="28">
        <v>89850</v>
      </c>
    </row>
    <row r="33" spans="2:5">
      <c r="B33" s="21" t="s">
        <v>31</v>
      </c>
      <c r="C33" s="22" t="s">
        <v>20</v>
      </c>
      <c r="D33" s="29">
        <v>45859</v>
      </c>
      <c r="E33" s="22">
        <v>527051</v>
      </c>
    </row>
    <row r="34" spans="2:5">
      <c r="B34" s="26" t="s">
        <v>74</v>
      </c>
      <c r="C34" s="26" t="s">
        <v>20</v>
      </c>
      <c r="D34" s="27">
        <v>45859</v>
      </c>
      <c r="E34" s="28">
        <v>623680</v>
      </c>
    </row>
    <row r="35" spans="2:5">
      <c r="B35" s="26" t="s">
        <v>47</v>
      </c>
      <c r="C35" s="26" t="s">
        <v>20</v>
      </c>
      <c r="D35" s="27">
        <v>45867</v>
      </c>
      <c r="E35" s="28">
        <v>350888</v>
      </c>
    </row>
    <row r="36" spans="2:5">
      <c r="B36" s="26" t="s">
        <v>44</v>
      </c>
      <c r="C36" s="26" t="s">
        <v>20</v>
      </c>
      <c r="D36" s="27">
        <v>45867</v>
      </c>
      <c r="E36" s="28">
        <v>199786</v>
      </c>
    </row>
    <row r="37" spans="2:5">
      <c r="B37" s="26" t="s">
        <v>75</v>
      </c>
      <c r="C37" s="26" t="s">
        <v>20</v>
      </c>
      <c r="D37" s="27">
        <v>45868</v>
      </c>
      <c r="E37" s="28">
        <v>15235</v>
      </c>
    </row>
    <row r="38" spans="2:5">
      <c r="B38" s="26" t="s">
        <v>55</v>
      </c>
      <c r="C38" s="26" t="s">
        <v>20</v>
      </c>
      <c r="D38" s="27">
        <v>45870</v>
      </c>
      <c r="E38" s="28">
        <v>226620</v>
      </c>
    </row>
    <row r="39" spans="2:5">
      <c r="B39" s="26" t="s">
        <v>42</v>
      </c>
      <c r="C39" s="26" t="s">
        <v>20</v>
      </c>
      <c r="D39" s="27">
        <v>45873</v>
      </c>
      <c r="E39" s="28">
        <v>269895</v>
      </c>
    </row>
    <row r="40" spans="2:5">
      <c r="B40" s="26" t="s">
        <v>38</v>
      </c>
      <c r="C40" s="26" t="s">
        <v>20</v>
      </c>
      <c r="D40" s="27">
        <v>45889</v>
      </c>
      <c r="E40" s="28">
        <v>648917</v>
      </c>
    </row>
    <row r="41" spans="2:5">
      <c r="B41" s="26" t="s">
        <v>58</v>
      </c>
      <c r="C41" s="26" t="s">
        <v>20</v>
      </c>
      <c r="D41" s="27">
        <v>45891</v>
      </c>
      <c r="E41" s="28">
        <v>496427</v>
      </c>
    </row>
    <row r="42" spans="2:5">
      <c r="B42" s="26" t="s">
        <v>56</v>
      </c>
      <c r="C42" s="26" t="s">
        <v>20</v>
      </c>
      <c r="D42" s="27">
        <v>45874</v>
      </c>
      <c r="E42" s="28">
        <v>339179</v>
      </c>
    </row>
    <row r="43" spans="2:5">
      <c r="B43" s="26" t="s">
        <v>41</v>
      </c>
      <c r="C43" s="26" t="s">
        <v>20</v>
      </c>
      <c r="D43" s="27">
        <v>45894</v>
      </c>
      <c r="E43" s="28">
        <v>305654</v>
      </c>
    </row>
    <row r="44" spans="2:5">
      <c r="B44" s="26" t="s">
        <v>40</v>
      </c>
      <c r="C44" s="26" t="s">
        <v>20</v>
      </c>
      <c r="D44" s="27">
        <v>45909</v>
      </c>
      <c r="E44" s="28">
        <v>863589</v>
      </c>
    </row>
    <row r="45" spans="2:5">
      <c r="B45" s="26" t="s">
        <v>45</v>
      </c>
      <c r="C45" s="26" t="s">
        <v>20</v>
      </c>
      <c r="D45" s="27">
        <v>45909</v>
      </c>
      <c r="E45" s="28">
        <v>481720</v>
      </c>
    </row>
    <row r="46" spans="2:5">
      <c r="B46" s="26" t="s">
        <v>48</v>
      </c>
      <c r="C46" s="26" t="s">
        <v>1</v>
      </c>
      <c r="D46" s="27">
        <v>45923</v>
      </c>
      <c r="E46" s="28">
        <v>360971</v>
      </c>
    </row>
    <row r="47" spans="2:5">
      <c r="B47" s="26" t="s">
        <v>37</v>
      </c>
      <c r="C47" s="26" t="s">
        <v>20</v>
      </c>
      <c r="D47" s="27">
        <v>45908</v>
      </c>
      <c r="E47" s="28">
        <v>578791</v>
      </c>
    </row>
    <row r="48" spans="2:5">
      <c r="B48" s="26" t="s">
        <v>61</v>
      </c>
      <c r="C48" s="26" t="s">
        <v>20</v>
      </c>
      <c r="D48" s="27">
        <v>45944</v>
      </c>
      <c r="E48" s="28">
        <v>121493</v>
      </c>
    </row>
    <row r="49" spans="2:5">
      <c r="B49" s="26" t="s">
        <v>63</v>
      </c>
      <c r="C49" s="26" t="s">
        <v>20</v>
      </c>
      <c r="D49" s="27">
        <v>45950</v>
      </c>
      <c r="E49" s="28">
        <v>60000</v>
      </c>
    </row>
    <row r="50" spans="2:5">
      <c r="B50" s="26" t="s">
        <v>33</v>
      </c>
      <c r="C50" s="26" t="s">
        <v>20</v>
      </c>
      <c r="D50" s="27">
        <v>45910</v>
      </c>
      <c r="E50" s="28">
        <v>729665</v>
      </c>
    </row>
    <row r="51" spans="2:5">
      <c r="B51" s="26" t="s">
        <v>55</v>
      </c>
      <c r="C51" s="26" t="s">
        <v>20</v>
      </c>
      <c r="D51" s="27">
        <v>45952</v>
      </c>
      <c r="E51" s="28">
        <v>424077</v>
      </c>
    </row>
    <row r="52" spans="2:5">
      <c r="B52" s="26" t="s">
        <v>58</v>
      </c>
      <c r="C52" s="26" t="s">
        <v>20</v>
      </c>
      <c r="D52" s="27">
        <v>45959</v>
      </c>
      <c r="E52" s="28">
        <v>540000</v>
      </c>
    </row>
    <row r="53" spans="2:5">
      <c r="B53" s="26" t="s">
        <v>31</v>
      </c>
      <c r="C53" s="26" t="s">
        <v>20</v>
      </c>
      <c r="D53" s="27">
        <v>45966</v>
      </c>
      <c r="E53" s="28">
        <v>559206</v>
      </c>
    </row>
    <row r="54" spans="2:5">
      <c r="B54" s="26" t="s">
        <v>40</v>
      </c>
      <c r="C54" s="26" t="s">
        <v>20</v>
      </c>
      <c r="D54" s="27">
        <v>45972</v>
      </c>
      <c r="E54" s="28">
        <v>879630</v>
      </c>
    </row>
    <row r="55" spans="2:5">
      <c r="B55" s="26" t="s">
        <v>38</v>
      </c>
      <c r="C55" s="26" t="s">
        <v>20</v>
      </c>
      <c r="D55" s="27">
        <v>45975</v>
      </c>
      <c r="E55" s="28">
        <v>663793</v>
      </c>
    </row>
    <row r="56" spans="2:5">
      <c r="B56" s="26" t="s">
        <v>50</v>
      </c>
      <c r="C56" s="26" t="s">
        <v>20</v>
      </c>
      <c r="D56" s="27">
        <v>45975</v>
      </c>
      <c r="E56" s="28">
        <v>377196</v>
      </c>
    </row>
    <row r="57" spans="2:5">
      <c r="B57" s="26" t="s">
        <v>37</v>
      </c>
      <c r="C57" s="26" t="s">
        <v>20</v>
      </c>
      <c r="D57" s="27">
        <v>45994</v>
      </c>
      <c r="E57" s="28">
        <v>604917</v>
      </c>
    </row>
    <row r="58" spans="2:5">
      <c r="B58" s="26" t="s">
        <v>42</v>
      </c>
      <c r="C58" s="26" t="s">
        <v>20</v>
      </c>
      <c r="D58" s="27">
        <v>45994</v>
      </c>
      <c r="E58" s="28">
        <v>280000</v>
      </c>
    </row>
    <row r="59" spans="2:5">
      <c r="B59" s="26" t="s">
        <v>51</v>
      </c>
      <c r="C59" s="26" t="s">
        <v>20</v>
      </c>
      <c r="D59" s="27">
        <v>45993</v>
      </c>
      <c r="E59" s="28">
        <v>354306</v>
      </c>
    </row>
    <row r="60" spans="2:5">
      <c r="B60" s="26" t="s">
        <v>45</v>
      </c>
      <c r="C60" s="26" t="s">
        <v>20</v>
      </c>
      <c r="D60" s="27">
        <v>46009</v>
      </c>
      <c r="E60" s="28">
        <v>502190</v>
      </c>
    </row>
    <row r="61" spans="2:5">
      <c r="B61" s="26" t="s">
        <v>65</v>
      </c>
      <c r="C61" s="26" t="s">
        <v>20</v>
      </c>
      <c r="D61" s="27">
        <v>46022</v>
      </c>
      <c r="E61" s="28">
        <v>20000</v>
      </c>
    </row>
    <row r="62" spans="2:5">
      <c r="B62" s="26" t="s">
        <v>59</v>
      </c>
      <c r="C62" s="26" t="s">
        <v>20</v>
      </c>
      <c r="D62" s="27">
        <v>46002</v>
      </c>
      <c r="E62" s="28">
        <v>150000</v>
      </c>
    </row>
    <row r="63" spans="2:5">
      <c r="B63" s="26" t="s">
        <v>40</v>
      </c>
      <c r="C63" s="26" t="s">
        <v>20</v>
      </c>
      <c r="D63" s="27">
        <v>46037</v>
      </c>
      <c r="E63" s="28">
        <v>895272</v>
      </c>
    </row>
    <row r="64" spans="2:5">
      <c r="B64" s="26" t="s">
        <v>45</v>
      </c>
      <c r="C64" s="26" t="s">
        <v>20</v>
      </c>
      <c r="D64" s="27">
        <v>46009</v>
      </c>
      <c r="E64" s="28">
        <v>502190</v>
      </c>
    </row>
    <row r="65" spans="2:5">
      <c r="B65" s="26"/>
      <c r="C65" s="26"/>
      <c r="D65" s="27"/>
      <c r="E65" s="28"/>
    </row>
    <row r="66" spans="2:5">
      <c r="B66" s="26"/>
      <c r="C66" s="26"/>
      <c r="D66" s="27"/>
      <c r="E66" s="28"/>
    </row>
    <row r="67" spans="2:5">
      <c r="B67" s="26"/>
      <c r="C67" s="26"/>
      <c r="D67" s="27"/>
      <c r="E67" s="28"/>
    </row>
    <row r="68" spans="2:5">
      <c r="B68" s="26"/>
      <c r="C68" s="26"/>
      <c r="D68" s="27"/>
      <c r="E68" s="28"/>
    </row>
    <row r="69" spans="2:5">
      <c r="B69" s="26"/>
      <c r="C69" s="26"/>
      <c r="D69" s="27"/>
      <c r="E69" s="28"/>
    </row>
    <row r="70" spans="2:5">
      <c r="B70" s="26"/>
      <c r="C70" s="26"/>
      <c r="D70" s="27"/>
      <c r="E70" s="28"/>
    </row>
    <row r="71" spans="2:5">
      <c r="B71" s="26"/>
      <c r="C71" s="26"/>
      <c r="D71" s="27"/>
      <c r="E71" s="28"/>
    </row>
    <row r="72" spans="2:5">
      <c r="B72" s="26"/>
      <c r="C72" s="26"/>
      <c r="D72" s="27"/>
      <c r="E72" s="28"/>
    </row>
    <row r="73" spans="2:5">
      <c r="B73" s="26"/>
      <c r="C73" s="26"/>
      <c r="D73" s="27"/>
      <c r="E73" s="28"/>
    </row>
    <row r="74" spans="2:5">
      <c r="B74" s="26"/>
      <c r="C74" s="26"/>
      <c r="D74" s="27"/>
      <c r="E74" s="28"/>
    </row>
    <row r="75" spans="2:5">
      <c r="B75" s="26"/>
      <c r="C75" s="26"/>
      <c r="D75" s="27"/>
      <c r="E75" s="28"/>
    </row>
    <row r="76" spans="2:5">
      <c r="B76" s="26"/>
      <c r="C76" s="26"/>
      <c r="D76" s="27"/>
      <c r="E76" s="28"/>
    </row>
    <row r="77" spans="2:5">
      <c r="B77" s="26"/>
      <c r="C77" s="26"/>
      <c r="D77" s="27"/>
      <c r="E77" s="28"/>
    </row>
    <row r="78" spans="2:5">
      <c r="B78" s="26"/>
      <c r="C78" s="26"/>
      <c r="D78" s="27"/>
      <c r="E78" s="28"/>
    </row>
    <row r="79" spans="2:5">
      <c r="B79" s="26"/>
      <c r="C79" s="26"/>
      <c r="D79" s="27"/>
      <c r="E79" s="28"/>
    </row>
    <row r="80" spans="2:5">
      <c r="B80" s="26"/>
      <c r="C80" s="26"/>
      <c r="D80" s="27"/>
      <c r="E80" s="28"/>
    </row>
    <row r="81" spans="2:5">
      <c r="B81" s="26"/>
      <c r="C81" s="26"/>
      <c r="D81" s="27"/>
      <c r="E81" s="28"/>
    </row>
    <row r="82" spans="2:5">
      <c r="B82" s="26"/>
      <c r="C82" s="26"/>
      <c r="D82" s="27"/>
      <c r="E82" s="28"/>
    </row>
    <row r="83" spans="2:5">
      <c r="B83" s="26"/>
      <c r="C83" s="26"/>
      <c r="D83" s="27"/>
      <c r="E83" s="28"/>
    </row>
    <row r="84" spans="2:5">
      <c r="B84" s="26"/>
      <c r="C84" s="26"/>
      <c r="D84" s="27"/>
      <c r="E84" s="28"/>
    </row>
    <row r="85" spans="2:5">
      <c r="B85" s="26"/>
      <c r="C85" s="26"/>
      <c r="D85" s="27"/>
      <c r="E85" s="28"/>
    </row>
    <row r="86" spans="2:5">
      <c r="B86" s="26"/>
      <c r="C86" s="26"/>
      <c r="D86" s="27"/>
      <c r="E86" s="28"/>
    </row>
    <row r="87" spans="2:5">
      <c r="B87" s="26"/>
      <c r="C87" s="26"/>
      <c r="D87" s="27"/>
      <c r="E87" s="28"/>
    </row>
    <row r="88" spans="2:5">
      <c r="B88" s="26"/>
      <c r="C88" s="26"/>
      <c r="D88" s="27"/>
      <c r="E88" s="28"/>
    </row>
    <row r="89" spans="2:5">
      <c r="B89" s="26"/>
      <c r="C89" s="26"/>
      <c r="D89" s="27"/>
      <c r="E89" s="28"/>
    </row>
    <row r="90" spans="2:5">
      <c r="B90" s="26"/>
      <c r="C90" s="26"/>
      <c r="D90" s="27"/>
      <c r="E90" s="28"/>
    </row>
    <row r="91" spans="2:5">
      <c r="B91" s="26"/>
      <c r="C91" s="26"/>
      <c r="D91" s="27"/>
      <c r="E91" s="28"/>
    </row>
    <row r="92" spans="2:5">
      <c r="B92" s="26"/>
      <c r="C92" s="26"/>
      <c r="D92" s="27"/>
      <c r="E92" s="28"/>
    </row>
    <row r="93" spans="2:5">
      <c r="B93" s="26"/>
      <c r="C93" s="26"/>
      <c r="D93" s="27"/>
      <c r="E93" s="28"/>
    </row>
    <row r="94" spans="2:5">
      <c r="B94" s="26"/>
      <c r="C94" s="26"/>
      <c r="D94" s="27"/>
      <c r="E94" s="28"/>
    </row>
    <row r="95" spans="2:5">
      <c r="B95" s="26"/>
      <c r="C95" s="26"/>
      <c r="D95" s="27"/>
      <c r="E95" s="28"/>
    </row>
    <row r="96" spans="2:5">
      <c r="B96" s="26"/>
      <c r="C96" s="26"/>
      <c r="D96" s="27"/>
      <c r="E96" s="28"/>
    </row>
    <row r="97" spans="2:5">
      <c r="B97" s="26"/>
      <c r="C97" s="26"/>
      <c r="D97" s="27"/>
      <c r="E97" s="28"/>
    </row>
    <row r="98" spans="2:5">
      <c r="B98" s="26"/>
      <c r="C98" s="26"/>
      <c r="D98" s="27"/>
      <c r="E98" s="28"/>
    </row>
    <row r="99" spans="2:5">
      <c r="B99" s="26"/>
      <c r="C99" s="26"/>
      <c r="D99" s="27"/>
      <c r="E99" s="28"/>
    </row>
    <row r="100" spans="2:5">
      <c r="B100" s="26"/>
      <c r="C100" s="26"/>
      <c r="D100" s="27"/>
      <c r="E100" s="28"/>
    </row>
    <row r="101" spans="2:5">
      <c r="B101" s="26"/>
      <c r="C101" s="26"/>
      <c r="D101" s="27"/>
      <c r="E101" s="28"/>
    </row>
    <row r="102" spans="2:5">
      <c r="B102" s="26"/>
      <c r="C102" s="26"/>
      <c r="D102" s="27"/>
      <c r="E102" s="28"/>
    </row>
    <row r="103" spans="2:5">
      <c r="B103" s="26"/>
      <c r="C103" s="26"/>
      <c r="D103" s="27"/>
      <c r="E103" s="28"/>
    </row>
    <row r="104" spans="2:5">
      <c r="B104" s="26"/>
      <c r="C104" s="26"/>
      <c r="D104" s="27"/>
      <c r="E104" s="28"/>
    </row>
    <row r="105" spans="2:5">
      <c r="B105" s="26"/>
      <c r="C105" s="26"/>
      <c r="D105" s="27"/>
      <c r="E105" s="28"/>
    </row>
    <row r="106" spans="2:5">
      <c r="B106" s="26"/>
      <c r="C106" s="26"/>
      <c r="D106" s="27"/>
      <c r="E106" s="28"/>
    </row>
    <row r="107" spans="2:5">
      <c r="B107" s="26"/>
      <c r="C107" s="26"/>
      <c r="D107" s="27"/>
      <c r="E107" s="28"/>
    </row>
    <row r="108" spans="2:5">
      <c r="B108" s="26"/>
      <c r="C108" s="26"/>
      <c r="D108" s="27"/>
      <c r="E108" s="28"/>
    </row>
    <row r="109" spans="2:5">
      <c r="B109" s="26"/>
      <c r="C109" s="26"/>
      <c r="D109" s="27"/>
      <c r="E109" s="28"/>
    </row>
    <row r="110" spans="2:5">
      <c r="B110" s="26"/>
      <c r="C110" s="26"/>
      <c r="D110" s="27"/>
      <c r="E110" s="28"/>
    </row>
    <row r="111" spans="2:5">
      <c r="B111" s="26"/>
      <c r="C111" s="26"/>
      <c r="D111" s="27"/>
      <c r="E111" s="28"/>
    </row>
    <row r="112" spans="2:5">
      <c r="B112" s="26"/>
      <c r="C112" s="26"/>
      <c r="D112" s="27"/>
      <c r="E112" s="28"/>
    </row>
    <row r="113" spans="2:5">
      <c r="B113" s="26"/>
      <c r="C113" s="26"/>
      <c r="D113" s="27"/>
      <c r="E113" s="28"/>
    </row>
    <row r="114" spans="2:5">
      <c r="B114" s="26"/>
      <c r="C114" s="26"/>
      <c r="D114" s="27"/>
      <c r="E114" s="28"/>
    </row>
    <row r="115" spans="2:5">
      <c r="B115" s="26"/>
      <c r="C115" s="26"/>
      <c r="D115" s="27"/>
      <c r="E115" s="28"/>
    </row>
    <row r="116" spans="2:5">
      <c r="B116" s="26"/>
      <c r="C116" s="26"/>
      <c r="D116" s="27"/>
      <c r="E116" s="28"/>
    </row>
    <row r="117" spans="2:5">
      <c r="B117" s="26"/>
      <c r="C117" s="26"/>
      <c r="D117" s="27"/>
      <c r="E117" s="28"/>
    </row>
    <row r="118" spans="2:5">
      <c r="B118" s="26"/>
      <c r="C118" s="26"/>
      <c r="D118" s="27"/>
      <c r="E118" s="28"/>
    </row>
    <row r="119" spans="2:5">
      <c r="B119" s="26"/>
      <c r="C119" s="26"/>
      <c r="D119" s="27"/>
      <c r="E119" s="28"/>
    </row>
    <row r="120" spans="2:5">
      <c r="B120" s="26"/>
      <c r="C120" s="26"/>
      <c r="D120" s="27"/>
      <c r="E120" s="28"/>
    </row>
  </sheetData>
  <autoFilter ref="B3:E46" xr:uid="{E763F7DA-EECC-4EDE-AAA9-2131EDA95E05}">
    <sortState xmlns:xlrd2="http://schemas.microsoft.com/office/spreadsheetml/2017/richdata2" ref="B4:E35">
      <sortCondition ref="D3"/>
    </sortState>
  </autoFilter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Ignacio Hueichan</dc:creator>
  <cp:keywords/>
  <dc:description/>
  <cp:lastModifiedBy/>
  <cp:revision/>
  <dcterms:created xsi:type="dcterms:W3CDTF">2015-06-05T18:19:34Z</dcterms:created>
  <dcterms:modified xsi:type="dcterms:W3CDTF">2026-01-20T14:19:49Z</dcterms:modified>
  <cp:category/>
  <cp:contentStatus/>
</cp:coreProperties>
</file>